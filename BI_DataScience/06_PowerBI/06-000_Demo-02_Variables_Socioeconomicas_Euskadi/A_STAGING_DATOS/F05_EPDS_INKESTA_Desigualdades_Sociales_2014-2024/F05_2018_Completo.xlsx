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ANZOGO\Documents\mis documentos\RESTO ESTADÍSTICAS\ENS\ENS2018\Explotación EPDS 2018\1. General (cast)\"/>
    </mc:Choice>
  </mc:AlternateContent>
  <bookViews>
    <workbookView xWindow="480" yWindow="72" windowWidth="18072" windowHeight="12528"/>
  </bookViews>
  <sheets>
    <sheet name="INDICE" sheetId="2" r:id="rId1"/>
    <sheet name="T1" sheetId="3" r:id="rId2"/>
    <sheet name="T2" sheetId="4" r:id="rId3"/>
    <sheet name="T3" sheetId="5" r:id="rId4"/>
    <sheet name="T4" sheetId="6" r:id="rId5"/>
    <sheet name="T5" sheetId="7" r:id="rId6"/>
    <sheet name="T6" sheetId="8" r:id="rId7"/>
    <sheet name="T7" sheetId="10" r:id="rId8"/>
    <sheet name="T8" sheetId="11" r:id="rId9"/>
    <sheet name="T9" sheetId="12" r:id="rId10"/>
    <sheet name="T10" sheetId="13" r:id="rId11"/>
    <sheet name="T11" sheetId="14" r:id="rId12"/>
    <sheet name="T12" sheetId="15" r:id="rId13"/>
    <sheet name="T13" sheetId="16" r:id="rId14"/>
    <sheet name="T14" sheetId="17" r:id="rId15"/>
    <sheet name="T15" sheetId="18" r:id="rId16"/>
    <sheet name="T16" sheetId="19" r:id="rId17"/>
    <sheet name="T17" sheetId="20" r:id="rId18"/>
    <sheet name="T18" sheetId="21" r:id="rId19"/>
    <sheet name="T19" sheetId="22" r:id="rId20"/>
    <sheet name="T20" sheetId="23" r:id="rId21"/>
    <sheet name="T21" sheetId="24" r:id="rId22"/>
    <sheet name="T22" sheetId="25" r:id="rId23"/>
    <sheet name="T23" sheetId="26" r:id="rId24"/>
    <sheet name="T24" sheetId="27" r:id="rId25"/>
    <sheet name="T25" sheetId="28" r:id="rId26"/>
    <sheet name="T26" sheetId="29" r:id="rId27"/>
    <sheet name="T27" sheetId="30" r:id="rId28"/>
    <sheet name="T28" sheetId="31" r:id="rId29"/>
    <sheet name="T29" sheetId="32" r:id="rId30"/>
    <sheet name="T30" sheetId="33" r:id="rId31"/>
    <sheet name="T31" sheetId="34" r:id="rId32"/>
  </sheets>
  <calcPr calcId="162913"/>
</workbook>
</file>

<file path=xl/calcChain.xml><?xml version="1.0" encoding="utf-8"?>
<calcChain xmlns="http://schemas.openxmlformats.org/spreadsheetml/2006/main">
  <c r="K7" i="32" l="1"/>
  <c r="K8" i="32"/>
  <c r="K9" i="32"/>
  <c r="K10" i="32"/>
  <c r="K11" i="32"/>
  <c r="K12" i="32"/>
  <c r="K13" i="32"/>
  <c r="K14" i="32"/>
  <c r="K15" i="32"/>
  <c r="K6" i="32"/>
  <c r="K5" i="32"/>
  <c r="J5" i="32"/>
  <c r="J6" i="32"/>
  <c r="J7" i="32"/>
  <c r="J8" i="32"/>
  <c r="J9" i="32"/>
  <c r="J10" i="32"/>
  <c r="J11" i="32"/>
  <c r="J12" i="32"/>
  <c r="J13" i="32"/>
  <c r="J14" i="32"/>
  <c r="J15" i="32"/>
  <c r="I15" i="32"/>
  <c r="H15" i="32"/>
  <c r="G15" i="32"/>
  <c r="I14" i="32"/>
  <c r="H14" i="32"/>
  <c r="G14" i="32"/>
  <c r="I13" i="32"/>
  <c r="H13" i="32"/>
  <c r="G13" i="32"/>
  <c r="I12" i="32"/>
  <c r="H12" i="32"/>
  <c r="G12" i="32"/>
  <c r="I11" i="32"/>
  <c r="H11" i="32"/>
  <c r="G11" i="32"/>
  <c r="I10" i="32"/>
  <c r="H10" i="32"/>
  <c r="G10" i="32"/>
  <c r="I9" i="32"/>
  <c r="H9" i="32"/>
  <c r="G9" i="32"/>
  <c r="I8" i="32"/>
  <c r="H8" i="32"/>
  <c r="G8" i="32"/>
  <c r="I7" i="32"/>
  <c r="H7" i="32"/>
  <c r="G7" i="32"/>
  <c r="I6" i="32"/>
  <c r="H6" i="32"/>
  <c r="G6" i="32"/>
  <c r="I5" i="32"/>
  <c r="H5" i="32"/>
  <c r="G5" i="32"/>
  <c r="L4" i="14" l="1"/>
  <c r="K4" i="14"/>
  <c r="L3" i="14"/>
  <c r="K3" i="14"/>
  <c r="L20" i="13" l="1"/>
  <c r="K20" i="13"/>
  <c r="L19" i="13"/>
  <c r="K19" i="13"/>
  <c r="L18" i="13"/>
  <c r="K18" i="13"/>
  <c r="L17" i="13"/>
  <c r="K17" i="13"/>
  <c r="L16" i="13"/>
  <c r="K16" i="13"/>
  <c r="L15" i="13"/>
  <c r="K15" i="13"/>
  <c r="L14" i="13"/>
  <c r="K14" i="13"/>
  <c r="J4" i="13"/>
  <c r="K4" i="13"/>
  <c r="J5" i="13"/>
  <c r="K5" i="13"/>
  <c r="J6" i="13"/>
  <c r="K6" i="13"/>
  <c r="J7" i="13"/>
  <c r="K7" i="13"/>
  <c r="J8" i="13"/>
  <c r="K8" i="13"/>
  <c r="J9" i="13"/>
  <c r="K9" i="13"/>
  <c r="K3" i="13"/>
  <c r="J3" i="13"/>
  <c r="K48" i="12" l="1"/>
  <c r="L48" i="12"/>
  <c r="L47" i="12"/>
  <c r="K47" i="12"/>
  <c r="L46" i="12"/>
  <c r="K46" i="12"/>
  <c r="L45" i="12"/>
  <c r="K45" i="12"/>
  <c r="L44" i="12"/>
  <c r="K44" i="12"/>
  <c r="L43" i="12"/>
  <c r="K43" i="12"/>
  <c r="L42" i="12"/>
  <c r="K42" i="12"/>
  <c r="L41" i="12"/>
  <c r="K41" i="12"/>
  <c r="L40" i="12"/>
  <c r="K40" i="12"/>
  <c r="K28" i="12"/>
  <c r="L28" i="12"/>
  <c r="K29" i="12"/>
  <c r="L29" i="12"/>
  <c r="K30" i="12"/>
  <c r="L30" i="12"/>
  <c r="K32" i="12"/>
  <c r="L32" i="12"/>
  <c r="K33" i="12"/>
  <c r="L33" i="12"/>
  <c r="K34" i="12"/>
  <c r="L34" i="12"/>
  <c r="K35" i="12"/>
  <c r="L35" i="12"/>
  <c r="L27" i="12"/>
  <c r="K27" i="12"/>
  <c r="K13" i="12"/>
  <c r="L13" i="12"/>
  <c r="K14" i="12"/>
  <c r="L14" i="12"/>
  <c r="K15" i="12"/>
  <c r="L15" i="12"/>
  <c r="K16" i="12"/>
  <c r="L16" i="12"/>
  <c r="K17" i="12"/>
  <c r="L17" i="12"/>
  <c r="K18" i="12"/>
  <c r="L18" i="12"/>
  <c r="K19" i="12"/>
  <c r="L19" i="12"/>
  <c r="K20" i="12"/>
  <c r="L20" i="12"/>
  <c r="K21" i="12"/>
  <c r="L21" i="12"/>
  <c r="L12" i="12"/>
  <c r="K12" i="12"/>
  <c r="K4" i="12"/>
  <c r="K5" i="12"/>
  <c r="K6" i="12"/>
  <c r="K7" i="12"/>
  <c r="K3" i="12"/>
  <c r="J4" i="12"/>
  <c r="J5" i="12"/>
  <c r="J6" i="12"/>
  <c r="J7" i="12"/>
  <c r="J3" i="12"/>
  <c r="J12" i="11" l="1"/>
  <c r="K12" i="11"/>
  <c r="J13" i="11"/>
  <c r="K13" i="11"/>
  <c r="J14" i="11"/>
  <c r="K14" i="11"/>
  <c r="J15" i="11"/>
  <c r="K15" i="11"/>
  <c r="K11" i="11"/>
  <c r="J11" i="11"/>
  <c r="J4" i="11"/>
  <c r="K4" i="11"/>
  <c r="J5" i="11"/>
  <c r="K5" i="11"/>
  <c r="J6" i="11"/>
  <c r="K6" i="11"/>
  <c r="J7" i="11"/>
  <c r="K7" i="11"/>
  <c r="J8" i="11"/>
  <c r="K8" i="11"/>
  <c r="K3" i="11"/>
  <c r="J3" i="11"/>
  <c r="J12" i="7" l="1"/>
  <c r="K12" i="7"/>
  <c r="J11" i="7"/>
  <c r="K10" i="7"/>
  <c r="J10" i="7"/>
  <c r="J4" i="7"/>
  <c r="J5" i="7"/>
  <c r="K5" i="7"/>
  <c r="K3" i="7"/>
  <c r="J3" i="7"/>
  <c r="K26" i="6" l="1"/>
  <c r="L26" i="6"/>
  <c r="K29" i="6"/>
  <c r="L29" i="6"/>
  <c r="K30" i="6"/>
  <c r="L30" i="6"/>
  <c r="K31" i="6"/>
  <c r="L31" i="6"/>
  <c r="K32" i="6"/>
  <c r="L32" i="6"/>
  <c r="K34" i="6"/>
  <c r="L34" i="6"/>
  <c r="K36" i="6"/>
  <c r="L36" i="6"/>
  <c r="K37" i="6"/>
  <c r="L37" i="6"/>
  <c r="K38" i="6"/>
  <c r="L38" i="6"/>
  <c r="K39" i="6"/>
  <c r="L39" i="6"/>
  <c r="K41" i="6"/>
  <c r="L41" i="6"/>
  <c r="K42" i="6"/>
  <c r="L42" i="6"/>
  <c r="L25" i="6"/>
  <c r="K25" i="6"/>
  <c r="K7" i="6"/>
  <c r="L7" i="6"/>
  <c r="K8" i="6"/>
  <c r="L8" i="6"/>
  <c r="K9" i="6"/>
  <c r="L9" i="6"/>
  <c r="K10" i="6"/>
  <c r="L10" i="6"/>
  <c r="K12" i="6"/>
  <c r="L12" i="6"/>
  <c r="K14" i="6"/>
  <c r="L14" i="6"/>
  <c r="K15" i="6"/>
  <c r="L15" i="6"/>
  <c r="K16" i="6"/>
  <c r="L16" i="6"/>
  <c r="K17" i="6"/>
  <c r="L17" i="6"/>
  <c r="K19" i="6"/>
  <c r="L19" i="6"/>
  <c r="K20" i="6"/>
  <c r="L20" i="6"/>
  <c r="L4" i="6"/>
  <c r="K4" i="6"/>
  <c r="L3" i="6"/>
  <c r="K3" i="6"/>
  <c r="L8" i="5" l="1"/>
  <c r="K8" i="5"/>
  <c r="L7" i="5"/>
  <c r="K7" i="5"/>
  <c r="L4" i="5"/>
  <c r="K4" i="5"/>
  <c r="L3" i="5"/>
  <c r="K3" i="5"/>
  <c r="I11" i="4" l="1"/>
  <c r="J11" i="4"/>
  <c r="I12" i="4"/>
  <c r="J12" i="4"/>
  <c r="I5" i="4"/>
  <c r="J5" i="4"/>
  <c r="I6" i="4"/>
  <c r="J6" i="4"/>
  <c r="J10" i="4"/>
  <c r="I10" i="4"/>
  <c r="J9" i="4"/>
  <c r="I9" i="4"/>
  <c r="J4" i="4"/>
  <c r="I4" i="4"/>
  <c r="J3" i="4"/>
  <c r="I3" i="4"/>
  <c r="K8" i="3" l="1"/>
  <c r="L8" i="3"/>
  <c r="L7" i="3"/>
  <c r="K4" i="3"/>
  <c r="L4" i="3"/>
  <c r="L3" i="3"/>
  <c r="K7" i="3"/>
  <c r="K3" i="3"/>
</calcChain>
</file>

<file path=xl/sharedStrings.xml><?xml version="1.0" encoding="utf-8"?>
<sst xmlns="http://schemas.openxmlformats.org/spreadsheetml/2006/main" count="1642" uniqueCount="421">
  <si>
    <t>ÍNDICE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</si>
  <si>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</si>
  <si>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</si>
  <si>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</si>
  <si>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</si>
  <si>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</si>
  <si>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</si>
  <si>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</si>
  <si>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</si>
  <si>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</si>
  <si>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</si>
  <si>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</si>
  <si>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</si>
  <si>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</si>
  <si>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</si>
  <si>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</si>
  <si>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</si>
  <si>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</si>
  <si>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</si>
  <si>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</si>
  <si>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</si>
  <si>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</si>
  <si>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</si>
  <si>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</si>
  <si>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</si>
  <si>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</si>
  <si>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</si>
  <si>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</si>
  <si>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</si>
  <si>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</si>
  <si>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</si>
  <si>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</si>
  <si>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estadistica-eps@ej-gv.es</t>
  </si>
  <si>
    <t>ENCUESTA DE NECESIDADES SOCIALES 2018 - MÓDULO EPDS-POBREZA</t>
  </si>
  <si>
    <t>Evolución del riesgo de pobreza y de ausencia de bienestar. Indicadores Eurostat. 1986-2018</t>
  </si>
  <si>
    <t>Evolución de los indicadores de riesgo de pobreza y exclusión. Indicadores AROPE. 2000-2018</t>
  </si>
  <si>
    <t>Evolución del riesgo de pobreza y de ausencia de bienestar. Indicadores EPDS. 1986-2018</t>
  </si>
  <si>
    <t>Evolución de algunos indicadores específicos de privación en la dimensión de mantenimiento/ingresos (indicadores de pobreza). 1986-2018</t>
  </si>
  <si>
    <t>Evolución de algunos indicadores específicos de privación en la dimensión de mantenimiento/ingresos (indicadores de ausencia de bienestar y de endeudamiento). 1996-2018</t>
  </si>
  <si>
    <t>Índices estadísticos asociados al impacto de la pobreza (mantenimiento). Método EPDS. 1986-2018</t>
  </si>
  <si>
    <t>Índices estadísticos asociados al impacto de las situaciones de ausencia de bienestar (mantenimiento). Método EPDS. 1986-2018</t>
  </si>
  <si>
    <t>Indicadores EPDS de riesgo de pobreza y ausencia de bienestar en la dimensión de acumulación (aproximación 2012). 1996-2018</t>
  </si>
  <si>
    <t>Evolución de algunos indicadores específicos de privación en la dimensión de acumulación (patrimonio y condiciones de vida). 1986-2018</t>
  </si>
  <si>
    <t>Evolución de las situaciones en la escala pobreza/bienestar real. Indicadores EPDS (aproximación 2012). 1996-2018</t>
  </si>
  <si>
    <t>Indicadores de pobreza real. Percepción subjetiva. 1986-2018</t>
  </si>
  <si>
    <t>Distribución de los ingresos de la población por tipo y posición en la escala pobreza/bienestar real. Datos mensualizados medios netos. 2018</t>
  </si>
  <si>
    <t>Evolución de las situaciones de pobreza y de precariedad real por tipo de grupo familiar. 2008-2018</t>
  </si>
  <si>
    <t>Evolución de las situaciones de pobreza y de precariedad real por presencia de menores de 14 años en el hogar. 2008-2018</t>
  </si>
  <si>
    <t>Evolución de las situaciones de pobreza y de precariedad real por edad (población menor o mayor de 14 años). 2008-2018</t>
  </si>
  <si>
    <t>Evolución de las situaciones de pobreza y de precariedad real por sexo. 2008-2018</t>
  </si>
  <si>
    <t>Evolución de las situaciones de pobreza y de precariedad real por edad. 2008-2018</t>
  </si>
  <si>
    <t>Evolución de las situaciones de pobreza y de precariedad por nacionalidad. 2008-2018</t>
  </si>
  <si>
    <t>Evolución de las situaciones de pobreza y de precariedad real por Territorio Histórico. 2008-2018</t>
  </si>
  <si>
    <t>Evolución de las situaciones de pobreza y de precariedad real por comarca. 2008-2018</t>
  </si>
  <si>
    <t>Indicadores de desigualdad en la C.A. de Euskadi. 1996-2018</t>
  </si>
  <si>
    <t>Tabla 1
Evolución del riesgo de pobreza y de ausencia de bienestar. Indicadores Eurostat. 1986-2018
Población en viviendas familiares
(Datos absolutos)</t>
  </si>
  <si>
    <t>Indicadores</t>
  </si>
  <si>
    <t>1986</t>
  </si>
  <si>
    <t>1996</t>
  </si>
  <si>
    <t>2000</t>
  </si>
  <si>
    <t>2004</t>
  </si>
  <si>
    <t>2008</t>
  </si>
  <si>
    <t>2012</t>
  </si>
  <si>
    <t>2014</t>
  </si>
  <si>
    <t>2016</t>
  </si>
  <si>
    <t>2018</t>
  </si>
  <si>
    <t>Bajos ingresos/riesgo de pobreza relativa (&lt; 60% de la mediana)</t>
  </si>
  <si>
    <t>Riesgo de pobreza grave (&lt; 40% de la mediana)</t>
  </si>
  <si>
    <t>(Incidencia en %)</t>
  </si>
  <si>
    <t>Evolución 2016/2018</t>
  </si>
  <si>
    <t>Evolución 2008/2018</t>
  </si>
  <si>
    <t>Baja intensidad laboral</t>
  </si>
  <si>
    <t>Bajos ingresos/riesgo de pobreza relativa</t>
  </si>
  <si>
    <t>Privación material</t>
  </si>
  <si>
    <t>Indicador de pobreza y exclusión AROPE</t>
  </si>
  <si>
    <t>Tabla 3
Evolución del riesgo de pobreza y de ausencia de bienestar. Indicadores EPDS. 1986-2018
Población en viviendas familiares
(Datos absolutos)</t>
  </si>
  <si>
    <t>Riesgo de ausencia de bienestar</t>
  </si>
  <si>
    <t>Riesgo de pobreza</t>
  </si>
  <si>
    <t>Necesidad de reducir gastos básicos</t>
  </si>
  <si>
    <t>No cubre en la actualidad los gastos básicos</t>
  </si>
  <si>
    <t>Problemas graves de alimentación</t>
  </si>
  <si>
    <t>Problemas muy graves de alimentación</t>
  </si>
  <si>
    <t>Total problemas de inseguridad FSS</t>
  </si>
  <si>
    <t>No comida proteínica al menos cada dos días</t>
  </si>
  <si>
    <t>Impagados o atrasos en el pago (alquileres, créditos, hipotecas, recibos)</t>
  </si>
  <si>
    <t>Embargo de bienes</t>
  </si>
  <si>
    <t>Venta de propiedades, cambio de vivienda o de colegio</t>
  </si>
  <si>
    <t>Recurso a prendas de segunda mano</t>
  </si>
  <si>
    <t>Prob.temperatura adecuada meses de invierno</t>
  </si>
  <si>
    <t>.</t>
  </si>
  <si>
    <t>Frío en casa en último invierno</t>
  </si>
  <si>
    <t>Problemas de acceso a la alimentación</t>
  </si>
  <si>
    <t>Indicadores FSS</t>
  </si>
  <si>
    <t xml:space="preserve">  - En hogares donde se ha sentido hambre</t>
  </si>
  <si>
    <t>Indicadores EU-SILC</t>
  </si>
  <si>
    <t>Problemas en cobertura de obligaciones y gastos habituales</t>
  </si>
  <si>
    <t>Otros problemas asociados a la subsistencia</t>
  </si>
  <si>
    <t>Sin vacaciones fuera del domicilio por problemas económicos (una semana o más)</t>
  </si>
  <si>
    <t>Sin capacidad para afrontar gastos imprevistos</t>
  </si>
  <si>
    <t>Riesgo de endeudamiento</t>
  </si>
  <si>
    <t>Año</t>
  </si>
  <si>
    <t>Tasa de pobreza</t>
  </si>
  <si>
    <t>Distancia al umbral Índice de Sen</t>
  </si>
  <si>
    <t>Índice FGT (2) HI</t>
  </si>
  <si>
    <t>Personas equivalentes con recursos nulos</t>
  </si>
  <si>
    <t>Base de Unidades familiares</t>
  </si>
  <si>
    <t>Tasa de ausencia 
de bienestar</t>
  </si>
  <si>
    <t>Distancia al umbral
Índice de Sen</t>
  </si>
  <si>
    <t xml:space="preserve">
Índice FGT (2) HI</t>
  </si>
  <si>
    <t>Personas equivalentes 
con recursos nulos</t>
  </si>
  <si>
    <t>Base de hogares</t>
  </si>
  <si>
    <t>Fuente: ESSDE-1986, EPDS 1996-2016 y EDSS-ENS 2014-2018
Notas: El indicador de evolución muestra el aumento o decremento en el % de personas afectadas entre 2008/2016 y 2018.
          Salvo en el caso del indicador relativo a No cubre en la actualidad los gastos básicos y la pregunta relativa al acceso a una comida proteínica cada dos días, 
          en los demás casos los indicadores hacen referencia a la ocurrencia de las circunstancias consideradas en algún momento del año anterior al momento de la encuestación</t>
  </si>
  <si>
    <t>Fuente: ESSDE-1986, EPDS 1996-2016 y EDSS-ENS 2014-2018</t>
  </si>
  <si>
    <t>Tabla 8
Indicadores EPDS de riesgo de pobreza y ausencia de bienestar en la dimensión de acumulación (aproximación 2012). 1996-2018
Población en viviendas familiares
Datos absolutos</t>
  </si>
  <si>
    <t>Situación</t>
  </si>
  <si>
    <t>Pobreza</t>
  </si>
  <si>
    <t>Otra aus.de bienestar</t>
  </si>
  <si>
    <t>Ausencia de bienestar</t>
  </si>
  <si>
    <t>Bienestar mínimo</t>
  </si>
  <si>
    <t>Pleno bienestar</t>
  </si>
  <si>
    <t>Total</t>
  </si>
  <si>
    <t>Incidencia en %</t>
  </si>
  <si>
    <t>Tabla 9.a
Evolución de algunos indicadores específicos de privación en la dimensión de acumulación (patrimonio y condiciones de vida)
Acceso a recursos patrimoniales. 1996-2018
Valor estimado de los distintos recursos patrimoniales (millones de €) y patrimonio total per cápita (€).</t>
  </si>
  <si>
    <t>Recurso patrimonial</t>
  </si>
  <si>
    <t>Primera vivienda</t>
  </si>
  <si>
    <t>Ahorros</t>
  </si>
  <si>
    <t>Otros bienes patrimoniales</t>
  </si>
  <si>
    <t>Patrimonio total</t>
  </si>
  <si>
    <t>Patrimonio total per cápita</t>
  </si>
  <si>
    <t>Propiedad no totalmente pagada, alquiler y asimilados</t>
  </si>
  <si>
    <t>Sin ahorros</t>
  </si>
  <si>
    <t>Margen de ahorro insuficiente para el gasto de un año</t>
  </si>
  <si>
    <t>Sin automóvil de antigüedad inferior a 10 años</t>
  </si>
  <si>
    <t>Sin otros bienes patrimoniales</t>
  </si>
  <si>
    <t>Sin al menos una semana de vacaciones</t>
  </si>
  <si>
    <t>Sin al menos una semana de vacaciones (por motivos económicos)</t>
  </si>
  <si>
    <t>Patrimonio per cápita &lt; 40% de la mediana</t>
  </si>
  <si>
    <t>Patrimonio per cápita 40-60% de la mediana</t>
  </si>
  <si>
    <t>Patrimonio per cápita &gt; 60% de la mediana</t>
  </si>
  <si>
    <t>ESSDE-1986, EPDS 1996-2016 y EDSS-ENS 2014-2018
Nota: El indicador de evolución muestra la variación absoluta en el % de personas afectadas entre 2008/2016 y 2018.</t>
  </si>
  <si>
    <t>Sin agua caliente</t>
  </si>
  <si>
    <t>Sin instalación eléctrica</t>
  </si>
  <si>
    <t>Sin bañera o ducha</t>
  </si>
  <si>
    <t>Sin retrete o bañera/ducha</t>
  </si>
  <si>
    <t>Vivienda con problemas de humedad</t>
  </si>
  <si>
    <t>Superficie &lt; 20 metros cuadrados/persona</t>
  </si>
  <si>
    <t>Exposición a ruidos/contaminación</t>
  </si>
  <si>
    <t>No iluminada, sin luz suficiente</t>
  </si>
  <si>
    <t>Frigorífico</t>
  </si>
  <si>
    <t>Equipamiento de cocina</t>
  </si>
  <si>
    <t>Lavadora</t>
  </si>
  <si>
    <t>Horno o microondas</t>
  </si>
  <si>
    <t>TV Color</t>
  </si>
  <si>
    <t>Teléfono</t>
  </si>
  <si>
    <t>Dos o más carencias en equipamientos básicos</t>
  </si>
  <si>
    <t>Una carencia en equipamientos básicos</t>
  </si>
  <si>
    <t>Alguna carencia en equipamientos básicos</t>
  </si>
  <si>
    <t>Tabla 9.c
Evolución de algunos indicadores específicos de privación en la dimensión de acumulación (patrimonio y condiciones de vida).Instalaciones y condiciones de habitabilidad de la vivienda. 1986-2018.
Incidencia en %
Población en viviendas familiares</t>
  </si>
  <si>
    <t>Tabla 9.d. 
Evolución de algunos indicadores específicos de privación en la dimensión de acumulación (patrimonio y condiciones de vida).Equipamiento de la vivienda. 1986-2018.
Incidencia en %
Población en viviendas familiares</t>
  </si>
  <si>
    <t>Evolución 
2016/2018</t>
  </si>
  <si>
    <t>Instalaciones básicas de la vivienda</t>
  </si>
  <si>
    <t>Tabla 10.a
Evolución de las situaciones en la escala pobreza/bienestar real
Indicadores EPDS (aproximación 2012). 1996-2018
Población en viviendas familiares
(Datos absolutos)</t>
  </si>
  <si>
    <t>Posición en la escala</t>
  </si>
  <si>
    <t>Pobreza real</t>
  </si>
  <si>
    <t>Bienestar con riesgo</t>
  </si>
  <si>
    <t>Bienestar casi completo</t>
  </si>
  <si>
    <t>Completo bienestar</t>
  </si>
  <si>
    <t>Fuente: EPDS 1996-2016 y EDSS-ENS 2014/2018
Notas: El indicador de evolución muestra la variación en % en el volumen de personas afectadas en 2018 respecto al existente, respectivamente, en 2008 y 2016.</t>
  </si>
  <si>
    <t>Fuente: ESSDE-1986, EPDS 1996-2016 y EDSS-ENS 2014/2918
Notas: El indicador de evolución muestra la variación absoluta en el % de personas afectadas entre 2008/2016 y 2018.</t>
  </si>
  <si>
    <t>Tabla 11
Indicadores de pobreza real. Percepción subjetiva. 1986-2018
Población en viviendas familiares
(Incidencia en %)</t>
  </si>
  <si>
    <t>Pobres o muy pobres</t>
  </si>
  <si>
    <t>Al menos más bien pobre</t>
  </si>
  <si>
    <t>ESSDE-1986, EPDS 1996-2016 y EDSS-ENS 2014-2018
Notas: El indicador de evolución muestra la variación absoluta en el % de personas afectadas entre 2008/2016 y 2018.</t>
  </si>
  <si>
    <t>Abs.</t>
  </si>
  <si>
    <t>% pob. Total</t>
  </si>
  <si>
    <t>% colectivo riesgo</t>
  </si>
  <si>
    <t>% ingresos RGI/PCV y AES</t>
  </si>
  <si>
    <t>% ingresos propios y del sistema general de prestaciones y pensiones</t>
  </si>
  <si>
    <t>% de distancia real al umbral</t>
  </si>
  <si>
    <t>% de distancia al umbral sin prestaciones RGI/PCV/AES</t>
  </si>
  <si>
    <t>% que no se considera pobre/muy pobre</t>
  </si>
  <si>
    <t>% que no se considera al menos más bien pobre</t>
  </si>
  <si>
    <t>% ingresos &gt; mínimo  básico de hogar</t>
  </si>
  <si>
    <t>Población atendida en el sistema</t>
  </si>
  <si>
    <t>Población que no sale de la pobreza</t>
  </si>
  <si>
    <t>Población que sale de la pobreza</t>
  </si>
  <si>
    <t>--- Ingresos &gt; umbral pobreza de mantenimiento</t>
  </si>
  <si>
    <t>Población no atendida en el sistema</t>
  </si>
  <si>
    <t xml:space="preserve"> -- Sueldos, salarios, ing.autónomos</t>
  </si>
  <si>
    <t>TOTAL</t>
  </si>
  <si>
    <t>La población en riesgo de pobreza incluye a las personas que pertenecen a hogares afectados por la pobreza real o en situaciones que dan derecho a acceder al sistema RGI/PCV/AES.</t>
  </si>
  <si>
    <t>Fuente: EPDS 2008-2016 y EDSS-ENS 2014/2018</t>
  </si>
  <si>
    <t>Tabla 12
Indicadores relativos al impacto del sistema RGI/PCV/AES en la prevención de la pobreza real. Población en riesgo de pobreza. 2008 a 2018</t>
  </si>
  <si>
    <t>Tipo de ingresos</t>
  </si>
  <si>
    <t>Otra ausencia
de bienestar</t>
  </si>
  <si>
    <t>Bienestar
con riesgo</t>
  </si>
  <si>
    <t>Bienestar</t>
  </si>
  <si>
    <t>Trabajo asalariado</t>
  </si>
  <si>
    <t>Ingresos inmobiliarios</t>
  </si>
  <si>
    <t>Ingresos mobiliarios, fondos de pensiones y similares</t>
  </si>
  <si>
    <t>Indemnizaciones laborales</t>
  </si>
  <si>
    <t>Auto-consumo</t>
  </si>
  <si>
    <t>INGRESOS PROPIOS</t>
  </si>
  <si>
    <t>Protección general: jubilación, invalidez y viudedad</t>
  </si>
  <si>
    <t>Otra protección general: desempleo y otros</t>
  </si>
  <si>
    <t>INGRESOS S.SOCIAL Y ASIMILADOS</t>
  </si>
  <si>
    <t>Sistema RGI/PCV/AES</t>
  </si>
  <si>
    <t>Otras ayudas sociales</t>
  </si>
  <si>
    <t>INGRESOS AYUDAS SOCIALES</t>
  </si>
  <si>
    <t>TRANSFERENCIAS ENTRE LA SOCIEDAD</t>
  </si>
  <si>
    <t>TOTAL INGRESOS</t>
  </si>
  <si>
    <t>Fuente: EDSS-ENS 2018</t>
  </si>
  <si>
    <t>Tipo de pobreza o precariedad</t>
  </si>
  <si>
    <t>Pareja sin hijos/as</t>
  </si>
  <si>
    <t>Pareja con hijos/as</t>
  </si>
  <si>
    <t>Familias monoparentales</t>
  </si>
  <si>
    <t>Personas solas/Otros grupos</t>
  </si>
  <si>
    <t>Pob.Mantenimiento</t>
  </si>
  <si>
    <t>Pob.Acumulación</t>
  </si>
  <si>
    <t>Ausencia de bienestar real</t>
  </si>
  <si>
    <t>Fuente: EPDS 2008-2016 y EDSS-ENS 2014-2018</t>
  </si>
  <si>
    <t>Tabla 14.a
Evolución de las situaciones de pobreza y de precariedad real por tipo de grupo familiar. 2008-2018
Población en viviendas familiares
Incidencia en %</t>
  </si>
  <si>
    <t>Tabla 14.b
Distribución de las situaciones de pobreza y precariedad real por tipo de grupo familiar. 2008-2016
Población en viviendas familiares
% horizontales</t>
  </si>
  <si>
    <t>Fuente: EPDS 2008-2016 y EDSS-ENS 2014</t>
  </si>
  <si>
    <t>Tabla 15.a
Evolución de las situaciones de pobreza y de precariedad real por presencia de menores de 14 años en el hogar. 2008-2018
Población en viviendas familiares
Incidencia en %</t>
  </si>
  <si>
    <t>Sin menores</t>
  </si>
  <si>
    <t>Con menores</t>
  </si>
  <si>
    <t>Tabla 15.b
Distribución de las situaciones de pobreza y precariedad real por presencia de menores de 14 años en el hogar. 2008-2018
Población en viviendas familiares
% horizontales</t>
  </si>
  <si>
    <t>Tabla 16.a
Evolución de las situaciones de pobreza y de precariedad real por edad (población menor o mayor de 14 años). 2008-2018
Población en viviendas familiares
Incidencia en %</t>
  </si>
  <si>
    <t>&lt; 14 años</t>
  </si>
  <si>
    <t>14 o más años</t>
  </si>
  <si>
    <t>Hombres</t>
  </si>
  <si>
    <t>Mujeres</t>
  </si>
  <si>
    <t xml:space="preserve">Fuente: EPDS 2008-2016 y EDSS-ENS 2014-2018
</t>
  </si>
  <si>
    <t>&lt; 35 años</t>
  </si>
  <si>
    <t>35-44 años</t>
  </si>
  <si>
    <t>45-54 años</t>
  </si>
  <si>
    <t xml:space="preserve"> 55-64 años</t>
  </si>
  <si>
    <t>&gt; 65 años</t>
  </si>
  <si>
    <t>&lt; 15 años</t>
  </si>
  <si>
    <t>15-24 años</t>
  </si>
  <si>
    <t>25-34 años</t>
  </si>
  <si>
    <t>55-64 años</t>
  </si>
  <si>
    <t>Estado</t>
  </si>
  <si>
    <t>Resto del mundo</t>
  </si>
  <si>
    <t>Tabla 16.b
Distribución de las situaciones de pobreza y precariedad real por edad (población menor o mayor de 14 años). 2008-2018
Población en viviendas familiares
% horizontales</t>
  </si>
  <si>
    <t>Tabla 17.a
Evolución de las situaciones de pobreza y de precariedad real por sexo de la persona de referencia. 2008-2018
Población en viviendas familiares
Incidencia en %</t>
  </si>
  <si>
    <t>Tabla 17.b
Distribución de las situaciones de pobreza y precariedad real por sexo de la persona de referencia. 2008-2018
Población en viviendas familiares
% horizontales</t>
  </si>
  <si>
    <t>Tabla 18.a
Evolución de las situaciones de pobreza y de precariedad real por sexo. 2008-2018
Población en viviendas familiares
Incidencia en %</t>
  </si>
  <si>
    <t>Tabla 18.b
Distribución de las situaciones de pobreza y precariedad real por sexo. 2008-2018
Población en viviendas familiares
% horizontales</t>
  </si>
  <si>
    <t>Tabla 19.b
Distribución de las situaciones de pobreza y precariedad real por edad de la persona de referencia. 2008-2018
Población en viviendas familiares
% horizontales</t>
  </si>
  <si>
    <t>Tabla 19.a
Evolución de las situaciones de pobreza y de precariedad real por edad de la persona de referencia. 2008-2018
Población en viviendas familiares
Incidencia en %</t>
  </si>
  <si>
    <t>Tabla 20.b
Distribución de las situaciones de pobreza y precariedad real por edad. 2008-2018
Población en viviendas familiares
% horizontales</t>
  </si>
  <si>
    <t>Tabla 20.a
Evolución de las situaciones de pobreza y de precariedad real por edad. 2008-2018
Población en viviendas familiares
Incidencia en %</t>
  </si>
  <si>
    <t>Tabla 21.b
Distribución de las situaciones de pobreza y precariedad real por nacionalidad de la persona de referencia. 2008-2018
Población en viviendas familiares
% horizontales</t>
  </si>
  <si>
    <t>Tabla 21.a
Evolución de las situaciones de pobreza y de precariedad real por nacionalidad de la persona de referencia. 2008-2018
Población en viviendas familiares
Incidencia en %</t>
  </si>
  <si>
    <t>Tabla 22.a
Evolución de las situaciones de pobreza y de precariedad real por nacionalidad. 2008-2018
Población en viviendas familiares
Incidencia en %</t>
  </si>
  <si>
    <t>Tabla 22.b
Distribución de las situaciones de pobreza y precariedad real por nacionalidad. 2008-2018
Población en viviendas familiares
% horizontales</t>
  </si>
  <si>
    <t>Sin estudios</t>
  </si>
  <si>
    <t>Primarios</t>
  </si>
  <si>
    <t>Cualificados</t>
  </si>
  <si>
    <t>Tabla 23.b
Distribución de las situaciones de pobreza y precariedad real por nivel de estudios de la persona de referencia. 2008-2018
Población en viviendas familiares
% horizontales</t>
  </si>
  <si>
    <t>Sec.no prof./FP GM</t>
  </si>
  <si>
    <t>Tabla 23.a
Evolución de las situaciones de pobreza y de precariedad real por nivel de estudios de la persona de referencia. 2008-2018
Población en viviendas familiares
Incidencia en %</t>
  </si>
  <si>
    <t>Tabla 24.a
Evolución de las situaciones de pobreza y de precariedad real por situación de las personas del hogar en relación con la actividad, la ocupación y el paro. 2008-2018
Población en viviendas familiares
Incidencia en %</t>
  </si>
  <si>
    <t>Activas ocupadas estables</t>
  </si>
  <si>
    <t>Otros casos ocupación estable</t>
  </si>
  <si>
    <t>Alguna ocupada no estable</t>
  </si>
  <si>
    <t>Todas paradas</t>
  </si>
  <si>
    <t>No activas</t>
  </si>
  <si>
    <t>Tabla 24.b
Distribución de las situaciones de pobreza y precariedad real por situación de las personas del hogar en relación con la actividad, la ocupación y el paro. 2008-2018
Población en viviendas familiares
% horizontales</t>
  </si>
  <si>
    <t>Tipo sociodemográfico</t>
  </si>
  <si>
    <t>Muj.sola.no oc.estable &lt; 45 años</t>
  </si>
  <si>
    <t>Muj.sola.no oc.estable &gt;= 45 años</t>
  </si>
  <si>
    <t>Muj.sola &lt; 65 oc.estable</t>
  </si>
  <si>
    <t>Hom.solo &lt; 65 oc.estable</t>
  </si>
  <si>
    <t>Hom.solo &lt; 65 no oc. estable</t>
  </si>
  <si>
    <t>Países no UE</t>
  </si>
  <si>
    <t>Muj.Fam.monop.no oc.estable &lt; 45 años</t>
  </si>
  <si>
    <t>Muj.Fam.monop.no oc.estable &gt;= 45 años</t>
  </si>
  <si>
    <t>Muj.Fam.monop.oc.estable</t>
  </si>
  <si>
    <t>Gr.fam.&lt; 45 años no oc.estable</t>
  </si>
  <si>
    <t>Gr.fam.&gt;= 45 años no oc.estable</t>
  </si>
  <si>
    <t>Gr.fam.&lt; 45 años oc.estable</t>
  </si>
  <si>
    <t>Gr.fam.&gt;= 45 años oc.estable</t>
  </si>
  <si>
    <t>Hombres &gt; 65 años</t>
  </si>
  <si>
    <t>Mujeres &gt;65 años</t>
  </si>
  <si>
    <t>Hombres Fam.monoparentales</t>
  </si>
  <si>
    <t>Tabla 26.a 
Evolución de las situaciones de pobreza y de precariedad real por Territorio Histórico. 2008-2018
Población en viviendas familiares
Incidencia en %</t>
  </si>
  <si>
    <t>Álava</t>
  </si>
  <si>
    <t>Gipuzkoa</t>
  </si>
  <si>
    <t>Bizkaia</t>
  </si>
  <si>
    <t>Tabla 26.b
Distribución de las situaciones de pobreza y precariedad real por Territorio Histórico. 2008-2018
Población en viviendas familiares
% horizontales</t>
  </si>
  <si>
    <t>Tabla 27.a 
Evolución de las situaciones de pobreza y de precariedad real por comarca. 2008-2018
Población en viviendas familiares
Incidencia en %</t>
  </si>
  <si>
    <t>Comarca</t>
  </si>
  <si>
    <t>Gasteiz</t>
  </si>
  <si>
    <t>Ayala</t>
  </si>
  <si>
    <t>M.Derecha</t>
  </si>
  <si>
    <t>Bilbao</t>
  </si>
  <si>
    <t>M.Izquierda</t>
  </si>
  <si>
    <t>Bizkaia-Costa</t>
  </si>
  <si>
    <t>Duranguesado</t>
  </si>
  <si>
    <t>Donostialdea</t>
  </si>
  <si>
    <t>Tolosa-Goierri</t>
  </si>
  <si>
    <t>Alto Deba</t>
  </si>
  <si>
    <t>Bajo Deba</t>
  </si>
  <si>
    <t>Coeficiente de Gini</t>
  </si>
  <si>
    <t>Ratio S80/S20</t>
  </si>
  <si>
    <t>% ingresos del 10% más pobre</t>
  </si>
  <si>
    <t>Ingresos mensuales netos corrientes per cápita</t>
  </si>
  <si>
    <t>Evolución 
2008/2012</t>
  </si>
  <si>
    <t>Evolución 
2012/2014</t>
  </si>
  <si>
    <t>Evolución 
2014/2016</t>
  </si>
  <si>
    <t>Media</t>
  </si>
  <si>
    <t>10 más pobre (D1)</t>
  </si>
  <si>
    <t>10-20% (D2)</t>
  </si>
  <si>
    <t>20-30% (D3)</t>
  </si>
  <si>
    <t>30-40% (D4)</t>
  </si>
  <si>
    <t>40-50% (D5)</t>
  </si>
  <si>
    <t>50-60% (D6)</t>
  </si>
  <si>
    <t>60-70% (D7)</t>
  </si>
  <si>
    <t>70-80% (D8)</t>
  </si>
  <si>
    <t>80-90% (D9)</t>
  </si>
  <si>
    <t>10 % más rico (D10)</t>
  </si>
  <si>
    <t>Evolución 
2008/2018</t>
  </si>
  <si>
    <t>Otra forma de aus.de bienestar</t>
  </si>
  <si>
    <t>Elementos de bienestar y riesgo</t>
  </si>
  <si>
    <t>%</t>
  </si>
  <si>
    <t>Sin comida proteínica cada día</t>
  </si>
  <si>
    <t>Sin frutas o verduras cada día</t>
  </si>
  <si>
    <t>No dispone de dos pares de zapatos (o uno para cada época del año)</t>
  </si>
  <si>
    <t>Problemas básicos muy graves</t>
  </si>
  <si>
    <t>No dispone de ropa nueva</t>
  </si>
  <si>
    <t>Sin equipamiento de ocio (aire libre)</t>
  </si>
  <si>
    <t>Pueden celebrar ocasiones especiales</t>
  </si>
  <si>
    <t>Otros problemas básicos</t>
  </si>
  <si>
    <t>PRINCIPALES PROBLEMAS BÁSICOS</t>
  </si>
  <si>
    <t>Fuente: EPDS 2016 y EDSS-ENS 2018</t>
  </si>
  <si>
    <t>% sin comida proteínica cada 2 días</t>
  </si>
  <si>
    <t>% Impagos o pagos atrasados</t>
  </si>
  <si>
    <t>% sin vacaciones por problemas económicos</t>
  </si>
  <si>
    <t>% sin capacidad para abordar gastos extra-ordinarios</t>
  </si>
  <si>
    <t>Índice S80/S20</t>
  </si>
  <si>
    <t>% de ingresos totales en el 10% más pobre</t>
  </si>
  <si>
    <t xml:space="preserve">C.A. Euskadi </t>
  </si>
  <si>
    <t>UE-28</t>
  </si>
  <si>
    <t>ND</t>
  </si>
  <si>
    <t>Luxemburgo</t>
  </si>
  <si>
    <t>Finlandia</t>
  </si>
  <si>
    <t>Francia</t>
  </si>
  <si>
    <t>Países Bajos</t>
  </si>
  <si>
    <t>Alemania</t>
  </si>
  <si>
    <t>Austria</t>
  </si>
  <si>
    <t>Suecia</t>
  </si>
  <si>
    <t>Dinamarca</t>
  </si>
  <si>
    <t>Bélgica</t>
  </si>
  <si>
    <t>Reino Unido</t>
  </si>
  <si>
    <t>Irlanda</t>
  </si>
  <si>
    <t>Eslovenia</t>
  </si>
  <si>
    <t>Hungría</t>
  </si>
  <si>
    <t>Eslovaquia</t>
  </si>
  <si>
    <t>Italia</t>
  </si>
  <si>
    <t>Polonia</t>
  </si>
  <si>
    <t>España</t>
  </si>
  <si>
    <t>Portugal</t>
  </si>
  <si>
    <t>Grecia</t>
  </si>
  <si>
    <t>Las tasas de pobreza y precariedad basadas en los umbrales del territorio base de comparación corresponden a la aplicación de esos umbrales a la CAE, ajustados en términos de paridades de poder de compra.</t>
  </si>
  <si>
    <t>Si usted precisa información no incluida en estas tablas puede realizar una petición de información llamando al teléfono: 945 01 93 58, o dirigiéndose al correo electrónico del Órgano Estadístico del Departamento :</t>
  </si>
  <si>
    <t>Coeficiente  de Gini en %</t>
  </si>
  <si>
    <t>Tasa AROPE en %</t>
  </si>
  <si>
    <t>% sin temperatura adecuada en invierno</t>
  </si>
  <si>
    <t>Chipre</t>
  </si>
  <si>
    <t>Chequia</t>
  </si>
  <si>
    <t>Tabla 31
Indicadores comparados de pobreza, precariedad y desigualdad. C.A. de Euskadi y Estados más representativos de la Unión Europea. 2017/2018</t>
  </si>
  <si>
    <t>Los datos europeos corresponden a 2017, y los de la CAE a 2018. La ordenación de los países se basa en la menor o mayor incidencia de la pobreza grave respecto a la CAE.</t>
  </si>
  <si>
    <t>% por debajo de la mediana de ingresos 
Tasa de la CAE con el umbral del territorio base de comparación</t>
  </si>
  <si>
    <t>% por debajo de la mediana de ingresos 
Tasa propia a cada territorio</t>
  </si>
  <si>
    <t>Territorio</t>
  </si>
  <si>
    <t>Fuente: EPDS 2000-2016 y EDSS-ENS 2014-2018
Notas: El indicador de Baja intensidad laboral se calcula en relación a la población entre 20 y 59 años no estudiante.
           En la parte relativa a datos absolutos, el indicador de evolución muestra la variación en % en el volumen de personas afectadas en 2018 respecto al existente, respectivamente, en 2008 y 2016.
           En la parte relativa a incidencia en %, el indicador de evolución muestra la variación absoluta en el % de personas afectadas entre 2008/2016 y 2018</t>
  </si>
  <si>
    <r>
      <t xml:space="preserve">Tabla 6. 
Índices estadísticos asociados al impacto de la pobreza (mantenimiento). Método EPDS. 1986-2018
</t>
    </r>
    <r>
      <rPr>
        <sz val="9"/>
        <color theme="1"/>
        <rFont val="Arial"/>
        <family val="2"/>
      </rPr>
      <t>Tasa de pobreza, índice de Sen, índice FGT (2) y personas equivalentes con recursos nulos respecto al umbral de pobreza</t>
    </r>
  </si>
  <si>
    <r>
      <t xml:space="preserve">Tabla 7.
Índices estadísticos asociados al impacto de las situaciones de ausencia de bienestar (mantenimiento). Método EPDS. 1986-2018
</t>
    </r>
    <r>
      <rPr>
        <sz val="9"/>
        <color theme="1"/>
        <rFont val="Arial"/>
        <family val="2"/>
      </rPr>
      <t>Tasa de ausencia de bienestar, índice de Sen, índice FGT (2) y personas equivalentes con recursos nulos respecto al umbral de ausencia de bienestar</t>
    </r>
  </si>
  <si>
    <t>Fuente: EPDS 2008-2016 y EDSS-ENS 2018</t>
  </si>
  <si>
    <t xml:space="preserve">Tabla 29
Ingresos medios equivalentes per cápita por deciles de ingresos (ingresos mensuales netos corrientes) 
Periodo 2008-2018
</t>
  </si>
  <si>
    <t>Área Euro (18)</t>
  </si>
  <si>
    <t>Fuente: ESSDE-1986, EPDS 1996-2016 y EDSS-ENS 2014-2018
Notas: El indicador de bajos ingresos/pobreza relativa incluye al colectivo en riesgo de pobreza grave.
           En la parte relativa a datos absolutos, el indicador de evolución muestra la variación en % en el volumen de personas afectadas en 2018 respecto al existente, respectivamente, en 2008 y 2016.
           En la parte relativa a incidencia en %, el indicador de evolución muestra la variación absoluta en el % de personas afectadas entre 2008/2016 y 2018</t>
  </si>
  <si>
    <t>Fuente: EPDS 1996-2016 y EDSS-ENS 2014-2018
Notas: En la parte relativa a datos absolutos, el indicador de evolución muestra la variación en % en el volumen de personas afectadas en 2018 respecto al
           existente,respectivamente, en 2008 y 2016.
           En la parte relativa a incidencia en %, el indicador de evolución muestra la variación absoluta en el % de personas afectadas entre 2008/2016 y 2018</t>
  </si>
  <si>
    <t>Fuente: ESSDE-1986, EPDS 1996-2016 y EDSS-ENS 2014-2018
Notas: El indicador de evolución muestra la variación absoluta en el % de personas afectadas entre 2008/2016 y 2018.
Los indicadores sintéticos de carencia básica se vinculan en exclusiva a falta de disposición por falta de recursos económicos</t>
  </si>
  <si>
    <t>Cortes de suministro (agua, luz, teléfono)</t>
  </si>
  <si>
    <t>Condiciones de habitabilidad</t>
  </si>
  <si>
    <t>Decil de ingresos</t>
  </si>
  <si>
    <t>Ingresos medios equivalentes per cápita por deciles de ingresos (ingresos mensuales netos corrientes). 2008-2018</t>
  </si>
  <si>
    <t>Carencias en la población menor por situación del hogar en la escala pobreza/bienestar real. 2016-2018</t>
  </si>
  <si>
    <t>Tabla 30
Carencias en la población menor por situación del hogar en la escala pobreza/bienestar real. 2016-2018
Población de 1 a 15 años en viviendas familiares
(En % de la población de cada grupo)</t>
  </si>
  <si>
    <t>Fuente: ESSDE-1986, EPDS 1996-2016 y EDSS-ENS 2014-2018
Notas: El indicador de bajos ingresos/pobreza relativa incluye al colectivo en riesgo de pobreza grave.
             En la parte relativa a datos absolutos, el indicador de evolución muestra la variación en % en el volumen de personas afectadas en 2018 respecto al existente, respectivamente, en 2008 y 2014.
             En la parte relativa a incidencia en %, el indicador de evolución muestra la variación absoluta en el % de personas afectadas entre 2008/2016 y 2018</t>
  </si>
  <si>
    <t>Tabla 28. 
Indicadores de desigualdad en la C.A. de Euskadi. 1996-2018
Coeficiente de Gini en %, Ratio S80/S20 
y % de participación del 10% de personas más pobres en los ingresos totales</t>
  </si>
  <si>
    <t>Evolución de las situaciones de pobreza y de precariedad real por sexo de la persona de referencia. 2008-2018</t>
  </si>
  <si>
    <t>Evolución de las situaciones de pobreza y de precariedad real por edad de la persona de referencia. 2008-2018</t>
  </si>
  <si>
    <t>Evolución de las situaciones de pobreza y de precariedad real por nacionalidad de la persona de referencia. 2008-2018</t>
  </si>
  <si>
    <t>Evolución de las situaciones de pobreza y de precariedad real por nivel de estudios de la persona de referencia. 2008-2018</t>
  </si>
  <si>
    <t>Evolución de las situaciones de pobreza y de precariedad real por tipo sociodemográfico del hogar o de su persona de referencia. 2008-2018</t>
  </si>
  <si>
    <t>Tabla 25.a
Evolución de las situaciones de pobreza y de precariedad real por tipo sociodemográfico del hogar o de su persona de referencia. 2008-2018
Población en viviendas familiares
Incidencia en %</t>
  </si>
  <si>
    <t>Tabla 25.b
Distribución de las situaciones de pobreza y precariedad real por tipo sociodemográfico del hogar o de su persona de referencia. 2008-2018
Población en viviendas familiares
% verticales</t>
  </si>
  <si>
    <t>Tabla 25.c
Distribución de las situaciones de pobreza y precariedad real por tipo sociodemográfico del hogar o de su persona de referencia. 2008-2018
Población en viviendas familiares
Datos absolutos</t>
  </si>
  <si>
    <t>Indicadores relativos al impacto del sistema RGI/PCV/AES en la prevención de la pobreza real. 2008 a 2018</t>
  </si>
  <si>
    <t>Indicadores comparados de pobreza, precariedad y desigualdad. C.A. de Euskadi y Estados más representativos de la Unión Europea. 2017/2018</t>
  </si>
  <si>
    <r>
      <t xml:space="preserve">Fuente: ESSDE-1986, EPDS 1996-2016 y EDSS-ENS 2014-2018
Notas: El indicador de evolución muestra la variación en % en el volumen de personas afectadas en 2018 respecto a la existente, respectivamente, en 2008 y 2016.
           Salvo en el caso del indicador relativo a </t>
    </r>
    <r>
      <rPr>
        <i/>
        <sz val="8"/>
        <color rgb="FF000000"/>
        <rFont val="Arial"/>
        <family val="2"/>
      </rPr>
      <t>No cubre en la actualidad los gastos básicos</t>
    </r>
    <r>
      <rPr>
        <sz val="8"/>
        <color rgb="FF000000"/>
        <rFont val="Arial"/>
        <family val="2"/>
      </rPr>
      <t xml:space="preserve"> y la pregunta relativa al acceso a una comida proteínica cada dos días, 
           en los demás casos los indicadores hacen referencia a la ocurrencia de las circunstancias consideradas en algún momento del año anterior al momento de la encuestación</t>
    </r>
  </si>
  <si>
    <t>Fuente: EPDS 1996-2016 y EDSS-ENS 2014-2018
Notas:   El indicador de evolución muestra la variación en % en el volumen de personas afectadas en 2018 respecto al existente, respectivamente, en 2008 y 2016.
               El dato relativo a la capacidad de afrontar gastos imprevistos se ve afectado por la referencia a una cuantía específica a partir de 2012 (860 € en 2016)</t>
  </si>
  <si>
    <t>Fuente: EPDS 1996-2016 y EDSS-ENS 2014-2018
Notas:   El indicador de evolución muestra el aumento o decremento en el % de personas afectadas entre 2008/2016 y 2018.
               El dato relativo a la capacidad de afrontar gastos imprevistos se ve afectado por la referencia a una cuantía específica a partir de 2012 (860 € en 2016)</t>
  </si>
  <si>
    <t>Fuente: EPDS 1996-2016 y EDSS-ENS 2014-2018
Notas:   El indicador de evolución muestra la variación en % en el volumen patrimonial en 2018 respecto al existente, respectivamente, en 2008 y 2016.
               Los datos relativos al Patrimonio total per cápita se basan en una aproximación per cápita estricta, sin introducción de factores de equivalencia.</t>
  </si>
  <si>
    <t>Tabla 9.b
Evolución de algunos indicadores específicos de privación en la dimensión de acumulación (patrimonio y condiciones de vida). 
Acceso a recursos patrimoniales. 1986-2018. 
Incidencia en %
Población en viviendas familiares</t>
  </si>
  <si>
    <t>Tabla 10.b
Evolución de las situaciones en la escala pobreza/bienestar real
Indicadores EPDS (aproximación 2012). 1986-2018
Población en viviendas familiares
(% verticales)</t>
  </si>
  <si>
    <t>Tabla 2
Evolución de los indicadores de riesgo de pobreza y exclusión. Indicadores AROPE. 2000-2018.
Población en viviendas familiares
(Datos absolutos)</t>
  </si>
  <si>
    <t>Tabla 4.a
Evolución de algunos indicadores específicos de privación en la dimensión de mantenimiento/ingresos (indicadores de pobreza). 1986-2018.
Datos absolutos
Población en viviendas familiares</t>
  </si>
  <si>
    <t>Tabla 4.b
Evolución de algunos indicadores específicos de privación en la dimensión de mantenimiento/ingresos (indicadores de pobreza). 1986-2018.
Incidencia en %
Población en viviendas familiares</t>
  </si>
  <si>
    <r>
      <t xml:space="preserve">Tabla 13.a. 
Distribución de los ingresos de la población por tipo y posición en la escala pobreza/bienestar real. 
Datos mensualizados medios netos. 2018
</t>
    </r>
    <r>
      <rPr>
        <sz val="9"/>
        <color theme="1"/>
        <rFont val="Arial"/>
        <family val="2"/>
      </rPr>
      <t>(Datos absolutos)</t>
    </r>
  </si>
  <si>
    <r>
      <t xml:space="preserve">Tabla 13.b. 
Distribución de los ingresos de la población por tipo y posición en la escala pobreza/bienestar real. 
Datos mensualizados medios netos. 2018
</t>
    </r>
    <r>
      <rPr>
        <sz val="9"/>
        <color theme="1"/>
        <rFont val="Arial"/>
        <family val="2"/>
      </rPr>
      <t>(% verticales)</t>
    </r>
  </si>
  <si>
    <r>
      <t xml:space="preserve">Tabla 13.c. 
Distribución de los ingresos de la población por tipo y posición en la escala pobreza/bienestar real. 
Datos mensualizados medios netos. 2018
</t>
    </r>
    <r>
      <rPr>
        <sz val="9"/>
        <color theme="1"/>
        <rFont val="Arial"/>
        <family val="2"/>
      </rPr>
      <t>(% horizontales)</t>
    </r>
  </si>
  <si>
    <t>Evolución de las situaciones de pobreza y de precariedad real por situación de las personas del hogar en relación con la actividad, la ocupación y el paro. 2008-2018</t>
  </si>
  <si>
    <t>Tabla 5.a
Evolución de algunos indicadores específicos de privación en la dimensión de mantenimiento/ingresos (indicadores de ausencia de bienestar y de endeudamiento). 1996-2018.
Datos absolutos
Población en viviendas familiares</t>
  </si>
  <si>
    <t>Tabla 5.b
Evolución de algunos indicadores específicos de privación en la dimensión de mantenimiento/ingresos (indicadores de ausencia de bienestar y de endeudamiento). 1986-2018.
Incidencia en %
Población en viviendas familiares</t>
  </si>
  <si>
    <t>Tabla 27.b
Distribución de las situaciones de pobreza y precariedad real por comarca. 2008-2018
Población en viviendas familiares
% verticales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</si>
</sst>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##0.0"/>
    <numFmt numFmtId="165" formatCode="0.0"/>
    <numFmt numFmtId="166" formatCode="#,##0.0"/>
    <numFmt numFmtId="167" formatCode="#,##0.00\ _€"/>
  </numFmts>
  <fonts count="7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17"/>
      <name val="Arial"/>
      <family val="2"/>
    </font>
    <font>
      <b/>
      <sz val="12"/>
      <color indexed="17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u/>
      <sz val="10"/>
      <color indexed="12"/>
      <name val="Arial"/>
      <family val="2"/>
    </font>
    <font>
      <sz val="10"/>
      <color indexed="18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i/>
      <sz val="8"/>
      <color rgb="FF000000"/>
      <name val="Arial"/>
      <family val="2"/>
    </font>
    <font>
      <b/>
      <i/>
      <sz val="8"/>
      <color rgb="FF000000"/>
      <name val="Arial"/>
      <family val="2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sz val="8.5"/>
      <color rgb="FF000000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8"/>
      <color indexed="8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sz val="9"/>
      <color indexed="8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u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i/>
      <sz val="8"/>
      <color theme="1"/>
      <name val="Arial"/>
      <family val="2"/>
    </font>
    <font>
      <b/>
      <i/>
      <sz val="8"/>
      <name val="Arial"/>
      <family val="2"/>
    </font>
    <font>
      <b/>
      <u/>
      <sz val="8"/>
      <color theme="1"/>
      <name val="Arial"/>
      <family val="2"/>
    </font>
    <font>
      <b/>
      <i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indexed="43"/>
        <bgColor indexed="64"/>
      </patternFill>
    </fill>
    <fill>
      <patternFill patternType="solid">
        <fgColor rgb="FFFFFFFF"/>
        <bgColor indexed="64"/>
      </patternFill>
    </fill>
  </fills>
  <borders count="2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double">
        <color auto="1"/>
      </top>
      <bottom style="thick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hair">
        <color auto="1"/>
      </right>
      <top style="double">
        <color auto="1"/>
      </top>
      <bottom style="thick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/>
      <right/>
      <top style="double">
        <color rgb="FF000000"/>
      </top>
      <bottom style="medium">
        <color auto="1"/>
      </bottom>
      <diagonal/>
    </border>
    <border>
      <left style="hair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medium">
        <color auto="1"/>
      </top>
      <bottom style="double">
        <color rgb="FF000000"/>
      </bottom>
      <diagonal/>
    </border>
    <border>
      <left style="medium">
        <color indexed="64"/>
      </left>
      <right/>
      <top style="medium">
        <color auto="1"/>
      </top>
      <bottom style="double">
        <color indexed="64"/>
      </bottom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double">
        <color indexed="8"/>
      </top>
      <bottom/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 style="dotted">
        <color rgb="FF000000"/>
      </left>
      <right/>
      <top style="double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ck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tted">
        <color auto="1"/>
      </left>
      <right/>
      <top style="medium">
        <color auto="1"/>
      </top>
      <bottom/>
      <diagonal/>
    </border>
    <border>
      <left style="dotted">
        <color auto="1"/>
      </left>
      <right/>
      <top/>
      <bottom style="thin">
        <color auto="1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medium">
        <color auto="1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ck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double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auto="1"/>
      </left>
      <right/>
      <top/>
      <bottom style="double">
        <color indexed="64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 style="hair">
        <color auto="1"/>
      </left>
      <right/>
      <top style="double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double">
        <color auto="1"/>
      </top>
      <bottom style="thick">
        <color auto="1"/>
      </bottom>
      <diagonal/>
    </border>
    <border>
      <left style="dotted">
        <color auto="1"/>
      </left>
      <right/>
      <top style="double">
        <color auto="1"/>
      </top>
      <bottom style="thick">
        <color auto="1"/>
      </bottom>
      <diagonal/>
    </border>
    <border>
      <left style="dotted">
        <color auto="1"/>
      </left>
      <right/>
      <top/>
      <bottom style="double">
        <color indexed="64"/>
      </bottom>
      <diagonal/>
    </border>
  </borders>
  <cellStyleXfs count="80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" borderId="1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2" borderId="93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2" borderId="133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2" borderId="15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90">
    <xf numFmtId="0" fontId="0" fillId="0" borderId="0" xfId="0"/>
    <xf numFmtId="0" fontId="2" fillId="0" borderId="0" xfId="0" applyFont="1"/>
    <xf numFmtId="0" fontId="3" fillId="2" borderId="0" xfId="0" applyFont="1" applyFill="1"/>
    <xf numFmtId="0" fontId="2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/>
    <xf numFmtId="0" fontId="5" fillId="2" borderId="0" xfId="0" applyFont="1" applyFill="1" applyAlignment="1">
      <alignment horizontal="center"/>
    </xf>
    <xf numFmtId="0" fontId="7" fillId="2" borderId="1" xfId="12" applyFont="1" applyAlignment="1" applyProtection="1"/>
    <xf numFmtId="0" fontId="5" fillId="0" borderId="0" xfId="0" applyFont="1" applyAlignment="1">
      <alignment horizontal="center"/>
    </xf>
    <xf numFmtId="0" fontId="0" fillId="3" borderId="0" xfId="0" applyFill="1"/>
    <xf numFmtId="0" fontId="6" fillId="3" borderId="1" xfId="12" applyFill="1" applyAlignment="1" applyProtection="1"/>
    <xf numFmtId="0" fontId="11" fillId="2" borderId="4" xfId="17" applyFont="1" applyFill="1" applyBorder="1" applyAlignment="1">
      <alignment horizontal="center"/>
    </xf>
    <xf numFmtId="0" fontId="11" fillId="2" borderId="3" xfId="14" applyFont="1" applyFill="1" applyBorder="1" applyAlignment="1">
      <alignment wrapText="1"/>
    </xf>
    <xf numFmtId="3" fontId="10" fillId="2" borderId="5" xfId="21" applyNumberFormat="1" applyFont="1" applyFill="1" applyBorder="1" applyAlignment="1">
      <alignment horizontal="center" vertical="center"/>
    </xf>
    <xf numFmtId="3" fontId="10" fillId="2" borderId="6" xfId="22" applyNumberFormat="1" applyFont="1" applyFill="1" applyBorder="1" applyAlignment="1">
      <alignment horizontal="center" vertical="center"/>
    </xf>
    <xf numFmtId="0" fontId="10" fillId="2" borderId="6" xfId="20" applyFont="1" applyFill="1" applyBorder="1" applyAlignment="1">
      <alignment horizontal="left" vertical="center" wrapText="1"/>
    </xf>
    <xf numFmtId="164" fontId="10" fillId="2" borderId="5" xfId="23" applyNumberFormat="1" applyFont="1" applyFill="1" applyBorder="1" applyAlignment="1">
      <alignment horizontal="center" vertical="center"/>
    </xf>
    <xf numFmtId="164" fontId="10" fillId="2" borderId="6" xfId="24" applyNumberFormat="1" applyFont="1" applyFill="1" applyBorder="1" applyAlignment="1">
      <alignment horizontal="center" vertical="center"/>
    </xf>
    <xf numFmtId="0" fontId="11" fillId="2" borderId="14" xfId="27" applyFont="1" applyFill="1" applyBorder="1" applyAlignment="1">
      <alignment wrapText="1"/>
    </xf>
    <xf numFmtId="0" fontId="11" fillId="2" borderId="15" xfId="30" applyFont="1" applyFill="1" applyBorder="1" applyAlignment="1">
      <alignment horizontal="center"/>
    </xf>
    <xf numFmtId="3" fontId="13" fillId="2" borderId="16" xfId="35" applyNumberFormat="1" applyFont="1" applyFill="1" applyBorder="1" applyAlignment="1">
      <alignment horizontal="center" vertical="center"/>
    </xf>
    <xf numFmtId="3" fontId="13" fillId="2" borderId="13" xfId="36" applyNumberFormat="1" applyFont="1" applyFill="1" applyBorder="1" applyAlignment="1">
      <alignment horizontal="center" vertical="center"/>
    </xf>
    <xf numFmtId="3" fontId="13" fillId="2" borderId="22" xfId="37" applyNumberFormat="1" applyFont="1" applyFill="1" applyBorder="1" applyAlignment="1">
      <alignment horizontal="center" vertical="center"/>
    </xf>
    <xf numFmtId="3" fontId="13" fillId="2" borderId="21" xfId="37" applyNumberFormat="1" applyFont="1" applyFill="1" applyBorder="1" applyAlignment="1">
      <alignment horizontal="center" vertical="center"/>
    </xf>
    <xf numFmtId="164" fontId="13" fillId="2" borderId="16" xfId="38" applyNumberFormat="1" applyFont="1" applyFill="1" applyBorder="1" applyAlignment="1">
      <alignment horizontal="center" vertical="center"/>
    </xf>
    <xf numFmtId="164" fontId="13" fillId="2" borderId="13" xfId="39" applyNumberFormat="1" applyFont="1" applyFill="1" applyBorder="1" applyAlignment="1">
      <alignment horizontal="center" vertical="center"/>
    </xf>
    <xf numFmtId="164" fontId="13" fillId="2" borderId="22" xfId="40" applyNumberFormat="1" applyFont="1" applyFill="1" applyBorder="1" applyAlignment="1">
      <alignment horizontal="center" vertical="center"/>
    </xf>
    <xf numFmtId="164" fontId="13" fillId="2" borderId="21" xfId="40" applyNumberFormat="1" applyFont="1" applyFill="1" applyBorder="1" applyAlignment="1">
      <alignment horizontal="center" vertical="center"/>
    </xf>
    <xf numFmtId="0" fontId="13" fillId="2" borderId="16" xfId="32" applyFont="1" applyFill="1" applyBorder="1" applyAlignment="1">
      <alignment horizontal="left" vertical="center" wrapText="1"/>
    </xf>
    <xf numFmtId="0" fontId="13" fillId="2" borderId="13" xfId="33" applyFont="1" applyFill="1" applyBorder="1" applyAlignment="1">
      <alignment horizontal="left" vertical="center" wrapText="1"/>
    </xf>
    <xf numFmtId="0" fontId="13" fillId="2" borderId="22" xfId="34" applyFont="1" applyFill="1" applyBorder="1" applyAlignment="1">
      <alignment horizontal="left" vertical="center" wrapText="1"/>
    </xf>
    <xf numFmtId="0" fontId="11" fillId="2" borderId="24" xfId="42" applyFont="1" applyFill="1" applyBorder="1" applyAlignment="1">
      <alignment wrapText="1"/>
    </xf>
    <xf numFmtId="0" fontId="11" fillId="2" borderId="25" xfId="45" applyFont="1" applyFill="1" applyBorder="1" applyAlignment="1">
      <alignment horizontal="center"/>
    </xf>
    <xf numFmtId="0" fontId="11" fillId="2" borderId="27" xfId="55" applyFont="1" applyFill="1" applyBorder="1" applyAlignment="1">
      <alignment wrapText="1"/>
    </xf>
    <xf numFmtId="0" fontId="11" fillId="2" borderId="28" xfId="58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0" fillId="2" borderId="26" xfId="67" applyFont="1" applyFill="1" applyBorder="1" applyAlignment="1">
      <alignment horizontal="center" vertical="center"/>
    </xf>
    <xf numFmtId="0" fontId="10" fillId="2" borderId="30" xfId="70" applyFont="1" applyFill="1" applyBorder="1" applyAlignment="1">
      <alignment horizontal="center" vertical="center"/>
    </xf>
    <xf numFmtId="3" fontId="10" fillId="2" borderId="26" xfId="64" applyNumberFormat="1" applyFont="1" applyFill="1" applyBorder="1" applyAlignment="1">
      <alignment horizontal="center" vertical="center"/>
    </xf>
    <xf numFmtId="3" fontId="17" fillId="2" borderId="26" xfId="64" applyNumberFormat="1" applyFont="1" applyFill="1" applyBorder="1" applyAlignment="1">
      <alignment horizontal="center" vertical="center"/>
    </xf>
    <xf numFmtId="3" fontId="10" fillId="2" borderId="30" xfId="65" applyNumberFormat="1" applyFont="1" applyFill="1" applyBorder="1" applyAlignment="1">
      <alignment horizontal="center" vertical="center"/>
    </xf>
    <xf numFmtId="0" fontId="10" fillId="2" borderId="29" xfId="60" applyFont="1" applyFill="1" applyBorder="1" applyAlignment="1">
      <alignment horizontal="left" vertical="center" wrapText="1"/>
    </xf>
    <xf numFmtId="0" fontId="10" fillId="2" borderId="26" xfId="61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2" borderId="30" xfId="62" applyFont="1" applyFill="1" applyBorder="1" applyAlignment="1">
      <alignment horizontal="left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3" fontId="10" fillId="2" borderId="29" xfId="63" applyNumberFormat="1" applyFont="1" applyFill="1" applyBorder="1" applyAlignment="1">
      <alignment horizontal="center" vertical="center"/>
    </xf>
    <xf numFmtId="165" fontId="10" fillId="0" borderId="31" xfId="0" applyNumberFormat="1" applyFont="1" applyBorder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165" fontId="10" fillId="0" borderId="31" xfId="0" applyNumberFormat="1" applyFont="1" applyBorder="1" applyAlignment="1">
      <alignment horizontal="left" vertical="center"/>
    </xf>
    <xf numFmtId="165" fontId="19" fillId="0" borderId="0" xfId="0" applyNumberFormat="1" applyFont="1"/>
    <xf numFmtId="0" fontId="20" fillId="0" borderId="0" xfId="0" applyFont="1" applyAlignment="1">
      <alignment horizontal="center" vertical="center"/>
    </xf>
    <xf numFmtId="165" fontId="19" fillId="0" borderId="31" xfId="0" applyNumberFormat="1" applyFont="1" applyBorder="1"/>
    <xf numFmtId="165" fontId="10" fillId="0" borderId="10" xfId="0" applyNumberFormat="1" applyFont="1" applyBorder="1" applyAlignment="1">
      <alignment horizontal="right" vertical="center"/>
    </xf>
    <xf numFmtId="165" fontId="10" fillId="0" borderId="19" xfId="0" applyNumberFormat="1" applyFont="1" applyBorder="1" applyAlignment="1">
      <alignment horizontal="right" vertical="center"/>
    </xf>
    <xf numFmtId="164" fontId="10" fillId="2" borderId="29" xfId="66" applyNumberFormat="1" applyFont="1" applyFill="1" applyBorder="1" applyAlignment="1">
      <alignment horizontal="center" vertical="center"/>
    </xf>
    <xf numFmtId="165" fontId="10" fillId="0" borderId="31" xfId="0" applyNumberFormat="1" applyFont="1" applyBorder="1" applyAlignment="1">
      <alignment vertical="center"/>
    </xf>
    <xf numFmtId="165" fontId="10" fillId="0" borderId="0" xfId="0" applyNumberFormat="1" applyFont="1" applyAlignment="1">
      <alignment vertical="center"/>
    </xf>
    <xf numFmtId="164" fontId="10" fillId="2" borderId="26" xfId="68" applyNumberFormat="1" applyFont="1" applyFill="1" applyBorder="1" applyAlignment="1">
      <alignment horizontal="center" vertical="center"/>
    </xf>
    <xf numFmtId="165" fontId="19" fillId="0" borderId="0" xfId="0" applyNumberFormat="1" applyFont="1" applyAlignment="1"/>
    <xf numFmtId="166" fontId="10" fillId="2" borderId="26" xfId="69" applyNumberFormat="1" applyFont="1" applyFill="1" applyBorder="1" applyAlignment="1">
      <alignment horizontal="center" vertical="center"/>
    </xf>
    <xf numFmtId="165" fontId="19" fillId="0" borderId="31" xfId="0" applyNumberFormat="1" applyFont="1" applyBorder="1" applyAlignment="1"/>
    <xf numFmtId="164" fontId="10" fillId="2" borderId="30" xfId="71" applyNumberFormat="1" applyFont="1" applyFill="1" applyBorder="1" applyAlignment="1">
      <alignment horizontal="center" vertical="center"/>
    </xf>
    <xf numFmtId="165" fontId="10" fillId="0" borderId="10" xfId="0" applyNumberFormat="1" applyFont="1" applyBorder="1" applyAlignment="1">
      <alignment vertical="center"/>
    </xf>
    <xf numFmtId="165" fontId="10" fillId="0" borderId="19" xfId="0" applyNumberFormat="1" applyFont="1" applyBorder="1" applyAlignment="1">
      <alignment vertical="center"/>
    </xf>
    <xf numFmtId="165" fontId="10" fillId="0" borderId="31" xfId="0" applyNumberFormat="1" applyFont="1" applyBorder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5" fontId="10" fillId="0" borderId="10" xfId="0" applyNumberFormat="1" applyFont="1" applyBorder="1" applyAlignment="1">
      <alignment horizontal="center" vertical="center"/>
    </xf>
    <xf numFmtId="165" fontId="10" fillId="0" borderId="19" xfId="0" applyNumberFormat="1" applyFont="1" applyBorder="1" applyAlignment="1">
      <alignment horizontal="center" vertical="center"/>
    </xf>
    <xf numFmtId="0" fontId="22" fillId="0" borderId="0" xfId="0" applyFont="1" applyAlignment="1">
      <alignment horizontal="left"/>
    </xf>
    <xf numFmtId="0" fontId="21" fillId="0" borderId="37" xfId="0" applyFont="1" applyBorder="1" applyAlignment="1"/>
    <xf numFmtId="0" fontId="21" fillId="0" borderId="37" xfId="0" applyFont="1" applyBorder="1" applyAlignment="1">
      <alignment horizontal="center" wrapText="1"/>
    </xf>
    <xf numFmtId="0" fontId="22" fillId="0" borderId="0" xfId="0" applyFont="1" applyAlignment="1">
      <alignment horizontal="center"/>
    </xf>
    <xf numFmtId="3" fontId="22" fillId="0" borderId="0" xfId="0" applyNumberFormat="1" applyFont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19" xfId="0" applyFont="1" applyBorder="1" applyAlignment="1">
      <alignment horizontal="left"/>
    </xf>
    <xf numFmtId="3" fontId="22" fillId="0" borderId="19" xfId="0" applyNumberFormat="1" applyFont="1" applyBorder="1" applyAlignment="1">
      <alignment horizontal="center"/>
    </xf>
    <xf numFmtId="165" fontId="22" fillId="0" borderId="19" xfId="0" applyNumberFormat="1" applyFont="1" applyBorder="1" applyAlignment="1">
      <alignment horizontal="center"/>
    </xf>
    <xf numFmtId="0" fontId="22" fillId="0" borderId="32" xfId="0" applyFont="1" applyBorder="1" applyAlignment="1">
      <alignment horizontal="left"/>
    </xf>
    <xf numFmtId="0" fontId="22" fillId="0" borderId="32" xfId="0" applyFont="1" applyBorder="1" applyAlignment="1">
      <alignment horizontal="center"/>
    </xf>
    <xf numFmtId="3" fontId="22" fillId="0" borderId="32" xfId="0" applyNumberFormat="1" applyFont="1" applyBorder="1" applyAlignment="1">
      <alignment horizontal="center"/>
    </xf>
    <xf numFmtId="165" fontId="22" fillId="0" borderId="32" xfId="0" applyNumberFormat="1" applyFont="1" applyBorder="1" applyAlignment="1">
      <alignment horizontal="center"/>
    </xf>
    <xf numFmtId="2" fontId="22" fillId="0" borderId="32" xfId="0" applyNumberFormat="1" applyFont="1" applyBorder="1" applyAlignment="1">
      <alignment horizontal="center"/>
    </xf>
    <xf numFmtId="2" fontId="22" fillId="0" borderId="19" xfId="0" applyNumberFormat="1" applyFont="1" applyBorder="1" applyAlignment="1">
      <alignment horizontal="center"/>
    </xf>
    <xf numFmtId="0" fontId="23" fillId="0" borderId="0" xfId="0" applyFont="1"/>
    <xf numFmtId="165" fontId="10" fillId="0" borderId="8" xfId="0" applyNumberFormat="1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/>
    </xf>
    <xf numFmtId="165" fontId="10" fillId="0" borderId="11" xfId="0" applyNumberFormat="1" applyFont="1" applyBorder="1" applyAlignment="1">
      <alignment horizontal="center" vertical="center"/>
    </xf>
    <xf numFmtId="165" fontId="10" fillId="0" borderId="17" xfId="0" applyNumberFormat="1" applyFont="1" applyBorder="1" applyAlignment="1">
      <alignment horizontal="center" vertical="center"/>
    </xf>
    <xf numFmtId="165" fontId="10" fillId="0" borderId="18" xfId="0" applyNumberFormat="1" applyFont="1" applyBorder="1" applyAlignment="1">
      <alignment horizontal="center" vertical="center"/>
    </xf>
    <xf numFmtId="165" fontId="10" fillId="0" borderId="20" xfId="0" applyNumberFormat="1" applyFont="1" applyBorder="1" applyAlignment="1">
      <alignment horizontal="center" vertical="center"/>
    </xf>
    <xf numFmtId="2" fontId="22" fillId="0" borderId="0" xfId="0" applyNumberFormat="1" applyFont="1" applyAlignment="1">
      <alignment horizontal="center"/>
    </xf>
    <xf numFmtId="0" fontId="11" fillId="2" borderId="33" xfId="73" applyFont="1" applyFill="1" applyBorder="1" applyAlignment="1">
      <alignment wrapText="1"/>
    </xf>
    <xf numFmtId="0" fontId="11" fillId="2" borderId="34" xfId="76" applyFont="1" applyFill="1" applyBorder="1" applyAlignment="1">
      <alignment horizontal="center"/>
    </xf>
    <xf numFmtId="0" fontId="10" fillId="2" borderId="35" xfId="78" applyFont="1" applyFill="1" applyBorder="1" applyAlignment="1">
      <alignment horizontal="left" vertical="center" wrapText="1"/>
    </xf>
    <xf numFmtId="3" fontId="10" fillId="2" borderId="35" xfId="81" applyNumberFormat="1" applyFont="1" applyFill="1" applyBorder="1" applyAlignment="1">
      <alignment horizontal="center" vertical="center"/>
    </xf>
    <xf numFmtId="0" fontId="10" fillId="2" borderId="32" xfId="79" applyFont="1" applyFill="1" applyBorder="1" applyAlignment="1">
      <alignment horizontal="left" vertical="center" wrapText="1"/>
    </xf>
    <xf numFmtId="3" fontId="10" fillId="2" borderId="32" xfId="82" applyNumberFormat="1" applyFont="1" applyFill="1" applyBorder="1" applyAlignment="1">
      <alignment horizontal="center" vertical="center"/>
    </xf>
    <xf numFmtId="0" fontId="10" fillId="2" borderId="36" xfId="80" applyFont="1" applyFill="1" applyBorder="1" applyAlignment="1">
      <alignment horizontal="left" vertical="center" wrapText="1"/>
    </xf>
    <xf numFmtId="3" fontId="10" fillId="2" borderId="36" xfId="83" applyNumberFormat="1" applyFont="1" applyFill="1" applyBorder="1" applyAlignment="1">
      <alignment horizontal="center" vertical="center"/>
    </xf>
    <xf numFmtId="164" fontId="10" fillId="2" borderId="35" xfId="84" applyNumberFormat="1" applyFont="1" applyFill="1" applyBorder="1" applyAlignment="1">
      <alignment horizontal="center" vertical="center"/>
    </xf>
    <xf numFmtId="164" fontId="10" fillId="2" borderId="32" xfId="85" applyNumberFormat="1" applyFont="1" applyFill="1" applyBorder="1" applyAlignment="1">
      <alignment horizontal="center" vertical="center"/>
    </xf>
    <xf numFmtId="164" fontId="10" fillId="2" borderId="36" xfId="86" applyNumberFormat="1" applyFont="1" applyFill="1" applyBorder="1" applyAlignment="1">
      <alignment horizontal="center" vertical="center"/>
    </xf>
    <xf numFmtId="0" fontId="11" fillId="0" borderId="37" xfId="0" applyFont="1" applyBorder="1" applyAlignment="1">
      <alignment horizontal="left" wrapText="1"/>
    </xf>
    <xf numFmtId="0" fontId="11" fillId="0" borderId="37" xfId="0" applyFont="1" applyBorder="1" applyAlignment="1">
      <alignment horizontal="center"/>
    </xf>
    <xf numFmtId="0" fontId="10" fillId="0" borderId="0" xfId="0" applyFont="1" applyAlignment="1">
      <alignment horizontal="left" wrapText="1"/>
    </xf>
    <xf numFmtId="3" fontId="10" fillId="0" borderId="0" xfId="0" applyNumberFormat="1" applyFont="1" applyAlignment="1">
      <alignment horizontal="right"/>
    </xf>
    <xf numFmtId="165" fontId="10" fillId="0" borderId="8" xfId="0" applyNumberFormat="1" applyFont="1" applyBorder="1" applyAlignment="1">
      <alignment horizontal="right"/>
    </xf>
    <xf numFmtId="165" fontId="10" fillId="0" borderId="17" xfId="0" applyNumberFormat="1" applyFont="1" applyBorder="1" applyAlignment="1">
      <alignment horizontal="right"/>
    </xf>
    <xf numFmtId="0" fontId="10" fillId="0" borderId="40" xfId="0" applyFont="1" applyBorder="1" applyAlignment="1">
      <alignment horizontal="left" wrapText="1"/>
    </xf>
    <xf numFmtId="3" fontId="10" fillId="0" borderId="40" xfId="0" applyNumberFormat="1" applyFont="1" applyBorder="1" applyAlignment="1">
      <alignment horizontal="right"/>
    </xf>
    <xf numFmtId="165" fontId="10" fillId="0" borderId="43" xfId="0" applyNumberFormat="1" applyFont="1" applyBorder="1" applyAlignment="1">
      <alignment horizontal="right"/>
    </xf>
    <xf numFmtId="165" fontId="10" fillId="0" borderId="18" xfId="0" applyNumberFormat="1" applyFont="1" applyBorder="1" applyAlignment="1">
      <alignment horizontal="right"/>
    </xf>
    <xf numFmtId="165" fontId="10" fillId="0" borderId="40" xfId="0" applyNumberFormat="1" applyFont="1" applyBorder="1" applyAlignment="1">
      <alignment horizontal="right"/>
    </xf>
    <xf numFmtId="165" fontId="10" fillId="0" borderId="31" xfId="0" applyNumberFormat="1" applyFont="1" applyBorder="1" applyAlignment="1">
      <alignment horizontal="right"/>
    </xf>
    <xf numFmtId="0" fontId="10" fillId="0" borderId="19" xfId="0" applyFont="1" applyBorder="1" applyAlignment="1">
      <alignment horizontal="left" wrapText="1"/>
    </xf>
    <xf numFmtId="3" fontId="10" fillId="0" borderId="19" xfId="0" applyNumberFormat="1" applyFont="1" applyBorder="1" applyAlignment="1">
      <alignment horizontal="right"/>
    </xf>
    <xf numFmtId="165" fontId="10" fillId="0" borderId="10" xfId="0" applyNumberFormat="1" applyFont="1" applyBorder="1" applyAlignment="1">
      <alignment horizontal="right"/>
    </xf>
    <xf numFmtId="165" fontId="10" fillId="0" borderId="19" xfId="0" applyNumberFormat="1" applyFont="1" applyBorder="1" applyAlignment="1">
      <alignment horizontal="right"/>
    </xf>
    <xf numFmtId="0" fontId="10" fillId="2" borderId="39" xfId="94" applyFont="1" applyFill="1" applyBorder="1" applyAlignment="1">
      <alignment horizontal="left" vertical="top" wrapText="1"/>
    </xf>
    <xf numFmtId="164" fontId="10" fillId="2" borderId="39" xfId="100" applyNumberFormat="1" applyFont="1" applyFill="1" applyBorder="1" applyAlignment="1">
      <alignment horizontal="right" vertical="top"/>
    </xf>
    <xf numFmtId="0" fontId="10" fillId="2" borderId="38" xfId="95" applyFont="1" applyFill="1" applyBorder="1" applyAlignment="1">
      <alignment horizontal="left" vertical="top" wrapText="1"/>
    </xf>
    <xf numFmtId="164" fontId="10" fillId="2" borderId="38" xfId="101" applyNumberFormat="1" applyFont="1" applyFill="1" applyBorder="1" applyAlignment="1">
      <alignment horizontal="right" vertical="top"/>
    </xf>
    <xf numFmtId="165" fontId="10" fillId="0" borderId="38" xfId="0" applyNumberFormat="1" applyFont="1" applyBorder="1" applyAlignment="1">
      <alignment horizontal="right"/>
    </xf>
    <xf numFmtId="0" fontId="10" fillId="2" borderId="42" xfId="95" applyFont="1" applyFill="1" applyBorder="1" applyAlignment="1">
      <alignment horizontal="left" vertical="top" wrapText="1"/>
    </xf>
    <xf numFmtId="164" fontId="10" fillId="2" borderId="42" xfId="101" applyNumberFormat="1" applyFont="1" applyFill="1" applyBorder="1" applyAlignment="1">
      <alignment horizontal="right" vertical="top"/>
    </xf>
    <xf numFmtId="164" fontId="10" fillId="2" borderId="41" xfId="101" applyNumberFormat="1" applyFont="1" applyFill="1" applyBorder="1" applyAlignment="1">
      <alignment horizontal="right" vertical="top"/>
    </xf>
    <xf numFmtId="0" fontId="10" fillId="2" borderId="22" xfId="96" applyFont="1" applyFill="1" applyBorder="1" applyAlignment="1">
      <alignment horizontal="left" vertical="top" wrapText="1"/>
    </xf>
    <xf numFmtId="164" fontId="10" fillId="2" borderId="22" xfId="102" applyNumberFormat="1" applyFont="1" applyFill="1" applyBorder="1" applyAlignment="1">
      <alignment horizontal="right" vertical="top"/>
    </xf>
    <xf numFmtId="164" fontId="10" fillId="2" borderId="21" xfId="102" applyNumberFormat="1" applyFont="1" applyFill="1" applyBorder="1" applyAlignment="1">
      <alignment horizontal="right" vertical="top"/>
    </xf>
    <xf numFmtId="0" fontId="11" fillId="2" borderId="45" xfId="104" applyFont="1" applyFill="1" applyBorder="1" applyAlignment="1">
      <alignment wrapText="1"/>
    </xf>
    <xf numFmtId="0" fontId="11" fillId="2" borderId="46" xfId="107" applyFont="1" applyFill="1" applyBorder="1" applyAlignment="1">
      <alignment horizontal="center"/>
    </xf>
    <xf numFmtId="3" fontId="27" fillId="2" borderId="47" xfId="112" applyNumberFormat="1" applyFont="1" applyFill="1" applyBorder="1" applyAlignment="1">
      <alignment horizontal="center" vertical="center"/>
    </xf>
    <xf numFmtId="165" fontId="23" fillId="0" borderId="51" xfId="0" applyNumberFormat="1" applyFont="1" applyBorder="1" applyAlignment="1">
      <alignment horizontal="center" vertical="center"/>
    </xf>
    <xf numFmtId="3" fontId="27" fillId="2" borderId="44" xfId="113" applyNumberFormat="1" applyFont="1" applyFill="1" applyBorder="1" applyAlignment="1">
      <alignment horizontal="center" vertical="center"/>
    </xf>
    <xf numFmtId="3" fontId="27" fillId="2" borderId="49" xfId="113" applyNumberFormat="1" applyFont="1" applyFill="1" applyBorder="1" applyAlignment="1">
      <alignment horizontal="center" vertical="center"/>
    </xf>
    <xf numFmtId="165" fontId="23" fillId="0" borderId="52" xfId="0" applyNumberFormat="1" applyFont="1" applyBorder="1" applyAlignment="1">
      <alignment horizontal="center" vertical="center"/>
    </xf>
    <xf numFmtId="3" fontId="27" fillId="2" borderId="48" xfId="114" applyNumberFormat="1" applyFont="1" applyFill="1" applyBorder="1" applyAlignment="1">
      <alignment horizontal="center" vertical="center"/>
    </xf>
    <xf numFmtId="165" fontId="23" fillId="0" borderId="53" xfId="0" applyNumberFormat="1" applyFont="1" applyBorder="1" applyAlignment="1">
      <alignment horizontal="center" vertical="center"/>
    </xf>
    <xf numFmtId="164" fontId="27" fillId="2" borderId="47" xfId="115" applyNumberFormat="1" applyFont="1" applyFill="1" applyBorder="1" applyAlignment="1">
      <alignment horizontal="center" vertical="center"/>
    </xf>
    <xf numFmtId="0" fontId="27" fillId="2" borderId="44" xfId="116" applyFont="1" applyFill="1" applyBorder="1" applyAlignment="1">
      <alignment horizontal="center" vertical="center"/>
    </xf>
    <xf numFmtId="164" fontId="27" fillId="2" borderId="44" xfId="117" applyNumberFormat="1" applyFont="1" applyFill="1" applyBorder="1" applyAlignment="1">
      <alignment horizontal="center" vertical="center"/>
    </xf>
    <xf numFmtId="0" fontId="27" fillId="2" borderId="48" xfId="118" applyFont="1" applyFill="1" applyBorder="1" applyAlignment="1">
      <alignment horizontal="center" vertical="center"/>
    </xf>
    <xf numFmtId="164" fontId="27" fillId="2" borderId="48" xfId="119" applyNumberFormat="1" applyFont="1" applyFill="1" applyBorder="1" applyAlignment="1">
      <alignment horizontal="center" vertical="center"/>
    </xf>
    <xf numFmtId="0" fontId="27" fillId="2" borderId="19" xfId="116" applyFont="1" applyFill="1" applyBorder="1" applyAlignment="1">
      <alignment horizontal="center" vertical="center"/>
    </xf>
    <xf numFmtId="164" fontId="27" fillId="2" borderId="19" xfId="117" applyNumberFormat="1" applyFont="1" applyFill="1" applyBorder="1" applyAlignment="1">
      <alignment horizontal="center" vertical="center"/>
    </xf>
    <xf numFmtId="0" fontId="27" fillId="2" borderId="47" xfId="109" applyFont="1" applyFill="1" applyBorder="1" applyAlignment="1">
      <alignment horizontal="left" vertical="center" wrapText="1"/>
    </xf>
    <xf numFmtId="0" fontId="27" fillId="2" borderId="44" xfId="110" applyFont="1" applyFill="1" applyBorder="1" applyAlignment="1">
      <alignment horizontal="left" vertical="center" wrapText="1"/>
    </xf>
    <xf numFmtId="0" fontId="27" fillId="2" borderId="48" xfId="111" applyFont="1" applyFill="1" applyBorder="1" applyAlignment="1">
      <alignment horizontal="left" vertical="center" wrapText="1"/>
    </xf>
    <xf numFmtId="0" fontId="27" fillId="2" borderId="19" xfId="110" applyFont="1" applyFill="1" applyBorder="1" applyAlignment="1">
      <alignment horizontal="left" vertical="center" wrapText="1"/>
    </xf>
    <xf numFmtId="165" fontId="23" fillId="0" borderId="55" xfId="0" applyNumberFormat="1" applyFont="1" applyBorder="1" applyAlignment="1">
      <alignment horizontal="center" vertical="center"/>
    </xf>
    <xf numFmtId="165" fontId="23" fillId="0" borderId="56" xfId="0" applyNumberFormat="1" applyFont="1" applyBorder="1" applyAlignment="1">
      <alignment horizontal="center" vertical="center"/>
    </xf>
    <xf numFmtId="165" fontId="23" fillId="0" borderId="57" xfId="0" applyNumberFormat="1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7" fillId="2" borderId="44" xfId="109" applyFont="1" applyFill="1" applyBorder="1" applyAlignment="1">
      <alignment horizontal="left" vertical="center" wrapText="1"/>
    </xf>
    <xf numFmtId="164" fontId="27" fillId="2" borderId="44" xfId="115" applyNumberFormat="1" applyFont="1" applyFill="1" applyBorder="1" applyAlignment="1">
      <alignment horizontal="center" vertical="center"/>
    </xf>
    <xf numFmtId="0" fontId="11" fillId="2" borderId="58" xfId="104" applyFont="1" applyFill="1" applyBorder="1" applyAlignment="1">
      <alignment wrapText="1"/>
    </xf>
    <xf numFmtId="0" fontId="11" fillId="2" borderId="58" xfId="107" applyFont="1" applyFill="1" applyBorder="1" applyAlignment="1">
      <alignment horizontal="center"/>
    </xf>
    <xf numFmtId="0" fontId="28" fillId="0" borderId="9" xfId="0" applyFont="1" applyBorder="1" applyAlignment="1">
      <alignment horizontal="center" vertical="center" wrapText="1"/>
    </xf>
    <xf numFmtId="0" fontId="11" fillId="2" borderId="44" xfId="110" applyFont="1" applyFill="1" applyBorder="1" applyAlignment="1">
      <alignment horizontal="left" vertical="center" wrapText="1"/>
    </xf>
    <xf numFmtId="0" fontId="27" fillId="2" borderId="60" xfId="110" applyFont="1" applyFill="1" applyBorder="1" applyAlignment="1">
      <alignment horizontal="left" vertical="center" wrapText="1"/>
    </xf>
    <xf numFmtId="0" fontId="27" fillId="2" borderId="60" xfId="116" applyFont="1" applyFill="1" applyBorder="1" applyAlignment="1">
      <alignment horizontal="center" vertical="center"/>
    </xf>
    <xf numFmtId="164" fontId="27" fillId="2" borderId="60" xfId="117" applyNumberFormat="1" applyFont="1" applyFill="1" applyBorder="1" applyAlignment="1">
      <alignment horizontal="center" vertical="center"/>
    </xf>
    <xf numFmtId="0" fontId="27" fillId="2" borderId="61" xfId="110" applyFont="1" applyFill="1" applyBorder="1" applyAlignment="1">
      <alignment horizontal="left" vertical="center" wrapText="1"/>
    </xf>
    <xf numFmtId="0" fontId="27" fillId="2" borderId="61" xfId="116" applyFont="1" applyFill="1" applyBorder="1" applyAlignment="1">
      <alignment horizontal="center" vertical="center"/>
    </xf>
    <xf numFmtId="164" fontId="27" fillId="2" borderId="61" xfId="117" applyNumberFormat="1" applyFont="1" applyFill="1" applyBorder="1" applyAlignment="1">
      <alignment horizontal="center" vertical="center"/>
    </xf>
    <xf numFmtId="0" fontId="30" fillId="2" borderId="65" xfId="125" applyFont="1" applyFill="1" applyBorder="1" applyAlignment="1">
      <alignment horizontal="center"/>
    </xf>
    <xf numFmtId="0" fontId="27" fillId="2" borderId="49" xfId="110" applyFont="1" applyFill="1" applyBorder="1" applyAlignment="1">
      <alignment horizontal="left" vertical="center" wrapText="1"/>
    </xf>
    <xf numFmtId="0" fontId="30" fillId="2" borderId="64" xfId="122" applyFont="1" applyFill="1" applyBorder="1" applyAlignment="1">
      <alignment wrapText="1"/>
    </xf>
    <xf numFmtId="165" fontId="23" fillId="0" borderId="67" xfId="0" applyNumberFormat="1" applyFont="1" applyBorder="1" applyAlignment="1">
      <alignment horizontal="center" vertical="center"/>
    </xf>
    <xf numFmtId="165" fontId="23" fillId="0" borderId="68" xfId="0" applyNumberFormat="1" applyFont="1" applyBorder="1" applyAlignment="1">
      <alignment horizontal="center" vertical="center"/>
    </xf>
    <xf numFmtId="165" fontId="23" fillId="0" borderId="70" xfId="0" applyNumberFormat="1" applyFont="1" applyBorder="1" applyAlignment="1">
      <alignment horizontal="center" vertical="center"/>
    </xf>
    <xf numFmtId="165" fontId="23" fillId="0" borderId="71" xfId="0" applyNumberFormat="1" applyFont="1" applyBorder="1" applyAlignment="1">
      <alignment horizontal="center" vertical="center"/>
    </xf>
    <xf numFmtId="165" fontId="10" fillId="0" borderId="74" xfId="0" applyNumberFormat="1" applyFont="1" applyBorder="1" applyAlignment="1">
      <alignment horizontal="center" vertical="center"/>
    </xf>
    <xf numFmtId="165" fontId="10" fillId="0" borderId="75" xfId="0" applyNumberFormat="1" applyFont="1" applyBorder="1" applyAlignment="1">
      <alignment horizontal="center" vertical="center"/>
    </xf>
    <xf numFmtId="0" fontId="32" fillId="2" borderId="78" xfId="153" applyFont="1" applyFill="1" applyBorder="1" applyAlignment="1">
      <alignment horizontal="center"/>
    </xf>
    <xf numFmtId="0" fontId="32" fillId="2" borderId="77" xfId="150" applyFont="1" applyFill="1" applyBorder="1" applyAlignment="1">
      <alignment wrapText="1"/>
    </xf>
    <xf numFmtId="3" fontId="30" fillId="2" borderId="66" xfId="130" applyNumberFormat="1" applyFont="1" applyFill="1" applyBorder="1" applyAlignment="1">
      <alignment horizontal="center" vertical="center"/>
    </xf>
    <xf numFmtId="3" fontId="30" fillId="2" borderId="63" xfId="131" applyNumberFormat="1" applyFont="1" applyFill="1" applyBorder="1" applyAlignment="1">
      <alignment horizontal="center" vertical="center"/>
    </xf>
    <xf numFmtId="3" fontId="30" fillId="2" borderId="42" xfId="131" applyNumberFormat="1" applyFont="1" applyFill="1" applyBorder="1" applyAlignment="1">
      <alignment horizontal="center" vertical="center"/>
    </xf>
    <xf numFmtId="3" fontId="30" fillId="2" borderId="69" xfId="132" applyNumberFormat="1" applyFont="1" applyFill="1" applyBorder="1" applyAlignment="1">
      <alignment horizontal="center" vertical="center"/>
    </xf>
    <xf numFmtId="164" fontId="30" fillId="2" borderId="66" xfId="133" applyNumberFormat="1" applyFont="1" applyFill="1" applyBorder="1" applyAlignment="1">
      <alignment horizontal="center" vertical="center"/>
    </xf>
    <xf numFmtId="164" fontId="30" fillId="2" borderId="63" xfId="134" applyNumberFormat="1" applyFont="1" applyFill="1" applyBorder="1" applyAlignment="1">
      <alignment horizontal="center" vertical="center"/>
    </xf>
    <xf numFmtId="164" fontId="30" fillId="2" borderId="42" xfId="134" applyNumberFormat="1" applyFont="1" applyFill="1" applyBorder="1" applyAlignment="1">
      <alignment horizontal="center" vertical="center"/>
    </xf>
    <xf numFmtId="164" fontId="30" fillId="2" borderId="73" xfId="135" applyNumberFormat="1" applyFont="1" applyFill="1" applyBorder="1" applyAlignment="1">
      <alignment horizontal="center" vertical="center"/>
    </xf>
    <xf numFmtId="164" fontId="32" fillId="2" borderId="79" xfId="157" applyNumberFormat="1" applyFont="1" applyFill="1" applyBorder="1" applyAlignment="1">
      <alignment horizontal="center" vertical="center"/>
    </xf>
    <xf numFmtId="164" fontId="32" fillId="2" borderId="80" xfId="158" applyNumberFormat="1" applyFont="1" applyFill="1" applyBorder="1" applyAlignment="1">
      <alignment horizontal="center" vertical="center"/>
    </xf>
    <xf numFmtId="0" fontId="32" fillId="2" borderId="79" xfId="155" applyFont="1" applyFill="1" applyBorder="1" applyAlignment="1">
      <alignment horizontal="left" vertical="center" wrapText="1"/>
    </xf>
    <xf numFmtId="0" fontId="32" fillId="2" borderId="80" xfId="156" applyFont="1" applyFill="1" applyBorder="1" applyAlignment="1">
      <alignment horizontal="left" vertical="center" wrapText="1"/>
    </xf>
    <xf numFmtId="0" fontId="30" fillId="2" borderId="66" xfId="127" applyFont="1" applyFill="1" applyBorder="1" applyAlignment="1">
      <alignment horizontal="left" vertical="center" wrapText="1"/>
    </xf>
    <xf numFmtId="0" fontId="30" fillId="2" borderId="63" xfId="128" applyFont="1" applyFill="1" applyBorder="1" applyAlignment="1">
      <alignment horizontal="left" vertical="center" wrapText="1"/>
    </xf>
    <xf numFmtId="0" fontId="30" fillId="2" borderId="42" xfId="128" applyFont="1" applyFill="1" applyBorder="1" applyAlignment="1">
      <alignment horizontal="left" vertical="center" wrapText="1"/>
    </xf>
    <xf numFmtId="0" fontId="33" fillId="0" borderId="0" xfId="0" applyFont="1" applyAlignment="1"/>
    <xf numFmtId="3" fontId="28" fillId="0" borderId="91" xfId="0" applyNumberFormat="1" applyFont="1" applyBorder="1"/>
    <xf numFmtId="3" fontId="28" fillId="0" borderId="91" xfId="0" applyNumberFormat="1" applyFont="1" applyBorder="1" applyAlignment="1">
      <alignment horizontal="center"/>
    </xf>
    <xf numFmtId="3" fontId="28" fillId="0" borderId="91" xfId="0" applyNumberFormat="1" applyFont="1" applyBorder="1" applyAlignment="1">
      <alignment horizontal="center" wrapText="1"/>
    </xf>
    <xf numFmtId="3" fontId="23" fillId="0" borderId="0" xfId="0" applyNumberFormat="1" applyFont="1"/>
    <xf numFmtId="3" fontId="28" fillId="0" borderId="61" xfId="0" applyNumberFormat="1" applyFont="1" applyBorder="1"/>
    <xf numFmtId="3" fontId="28" fillId="0" borderId="92" xfId="0" applyNumberFormat="1" applyFont="1" applyBorder="1"/>
    <xf numFmtId="3" fontId="28" fillId="0" borderId="76" xfId="0" applyNumberFormat="1" applyFont="1" applyBorder="1"/>
    <xf numFmtId="3" fontId="28" fillId="0" borderId="91" xfId="0" applyNumberFormat="1" applyFont="1" applyBorder="1" applyAlignment="1">
      <alignment horizontal="right"/>
    </xf>
    <xf numFmtId="3" fontId="28" fillId="0" borderId="91" xfId="0" applyNumberFormat="1" applyFont="1" applyBorder="1" applyAlignment="1">
      <alignment horizontal="right" wrapText="1"/>
    </xf>
    <xf numFmtId="166" fontId="23" fillId="0" borderId="0" xfId="0" applyNumberFormat="1" applyFont="1"/>
    <xf numFmtId="166" fontId="28" fillId="0" borderId="61" xfId="0" applyNumberFormat="1" applyFont="1" applyBorder="1"/>
    <xf numFmtId="3" fontId="28" fillId="0" borderId="19" xfId="0" applyNumberFormat="1" applyFont="1" applyBorder="1"/>
    <xf numFmtId="166" fontId="28" fillId="0" borderId="92" xfId="0" applyNumberFormat="1" applyFont="1" applyBorder="1"/>
    <xf numFmtId="166" fontId="28" fillId="0" borderId="76" xfId="0" applyNumberFormat="1" applyFont="1" applyBorder="1"/>
    <xf numFmtId="3" fontId="23" fillId="0" borderId="76" xfId="0" applyNumberFormat="1" applyFont="1" applyBorder="1"/>
    <xf numFmtId="3" fontId="23" fillId="0" borderId="76" xfId="0" applyNumberFormat="1" applyFont="1" applyBorder="1" applyAlignment="1">
      <alignment wrapText="1"/>
    </xf>
    <xf numFmtId="0" fontId="36" fillId="2" borderId="96" xfId="183" applyFont="1" applyFill="1" applyBorder="1" applyAlignment="1">
      <alignment horizontal="left" vertical="top"/>
    </xf>
    <xf numFmtId="0" fontId="36" fillId="2" borderId="93" xfId="184" applyFont="1" applyFill="1" applyBorder="1" applyAlignment="1">
      <alignment horizontal="left" vertical="top"/>
    </xf>
    <xf numFmtId="0" fontId="36" fillId="2" borderId="97" xfId="186" applyFont="1" applyFill="1" applyBorder="1" applyAlignment="1">
      <alignment horizontal="left" vertical="top"/>
    </xf>
    <xf numFmtId="164" fontId="36" fillId="2" borderId="96" xfId="187" applyNumberFormat="1" applyFont="1" applyFill="1" applyBorder="1" applyAlignment="1">
      <alignment horizontal="right" vertical="top"/>
    </xf>
    <xf numFmtId="164" fontId="36" fillId="2" borderId="93" xfId="188" applyNumberFormat="1" applyFont="1" applyFill="1" applyBorder="1" applyAlignment="1">
      <alignment horizontal="right" vertical="top"/>
    </xf>
    <xf numFmtId="164" fontId="36" fillId="2" borderId="97" xfId="189" applyNumberFormat="1" applyFont="1" applyFill="1" applyBorder="1" applyAlignment="1">
      <alignment horizontal="right" vertical="top"/>
    </xf>
    <xf numFmtId="0" fontId="36" fillId="2" borderId="98" xfId="184" applyFont="1" applyFill="1" applyBorder="1" applyAlignment="1">
      <alignment horizontal="left" vertical="top"/>
    </xf>
    <xf numFmtId="164" fontId="36" fillId="2" borderId="98" xfId="188" applyNumberFormat="1" applyFont="1" applyFill="1" applyBorder="1" applyAlignment="1">
      <alignment horizontal="right" vertical="top"/>
    </xf>
    <xf numFmtId="0" fontId="36" fillId="2" borderId="61" xfId="184" applyFont="1" applyFill="1" applyBorder="1" applyAlignment="1">
      <alignment horizontal="left" vertical="top"/>
    </xf>
    <xf numFmtId="164" fontId="36" fillId="2" borderId="61" xfId="188" applyNumberFormat="1" applyFont="1" applyFill="1" applyBorder="1" applyAlignment="1">
      <alignment horizontal="right" vertical="top"/>
    </xf>
    <xf numFmtId="0" fontId="36" fillId="2" borderId="40" xfId="184" applyFont="1" applyFill="1" applyBorder="1" applyAlignment="1">
      <alignment horizontal="left" vertical="top"/>
    </xf>
    <xf numFmtId="164" fontId="36" fillId="2" borderId="40" xfId="188" applyNumberFormat="1" applyFont="1" applyFill="1" applyBorder="1" applyAlignment="1">
      <alignment horizontal="right" vertical="top"/>
    </xf>
    <xf numFmtId="0" fontId="36" fillId="2" borderId="99" xfId="184" applyFont="1" applyFill="1" applyBorder="1" applyAlignment="1">
      <alignment horizontal="left" vertical="top"/>
    </xf>
    <xf numFmtId="164" fontId="36" fillId="2" borderId="99" xfId="188" applyNumberFormat="1" applyFont="1" applyFill="1" applyBorder="1" applyAlignment="1">
      <alignment horizontal="right" vertical="top"/>
    </xf>
    <xf numFmtId="0" fontId="36" fillId="2" borderId="95" xfId="179" applyFont="1" applyFill="1" applyBorder="1" applyAlignment="1">
      <alignment horizontal="right" wrapText="1"/>
    </xf>
    <xf numFmtId="0" fontId="37" fillId="2" borderId="93" xfId="190"/>
    <xf numFmtId="0" fontId="39" fillId="2" borderId="101" xfId="190" applyFont="1" applyBorder="1" applyAlignment="1">
      <alignment horizontal="center" wrapText="1"/>
    </xf>
    <xf numFmtId="0" fontId="41" fillId="2" borderId="105" xfId="194" applyFont="1" applyFill="1" applyBorder="1" applyAlignment="1">
      <alignment horizontal="right" wrapText="1"/>
    </xf>
    <xf numFmtId="0" fontId="43" fillId="2" borderId="107" xfId="209" applyFont="1" applyFill="1" applyBorder="1" applyAlignment="1">
      <alignment horizontal="center" wrapText="1"/>
    </xf>
    <xf numFmtId="0" fontId="45" fillId="2" borderId="111" xfId="223" applyFont="1" applyFill="1" applyBorder="1" applyAlignment="1">
      <alignment horizontal="center" wrapText="1"/>
    </xf>
    <xf numFmtId="0" fontId="47" fillId="2" borderId="114" xfId="237" applyFont="1" applyFill="1" applyBorder="1" applyAlignment="1">
      <alignment horizontal="center" wrapText="1"/>
    </xf>
    <xf numFmtId="0" fontId="10" fillId="2" borderId="114" xfId="237" applyFont="1" applyFill="1" applyBorder="1" applyAlignment="1">
      <alignment horizontal="center" wrapText="1"/>
    </xf>
    <xf numFmtId="0" fontId="49" fillId="2" borderId="117" xfId="251" applyFont="1" applyFill="1" applyBorder="1" applyAlignment="1">
      <alignment horizontal="center" wrapText="1"/>
    </xf>
    <xf numFmtId="0" fontId="51" fillId="2" borderId="120" xfId="265" applyFont="1" applyFill="1" applyBorder="1" applyAlignment="1">
      <alignment horizontal="center" wrapText="1"/>
    </xf>
    <xf numFmtId="0" fontId="53" fillId="2" borderId="123" xfId="279" applyFont="1" applyFill="1" applyBorder="1" applyAlignment="1">
      <alignment horizontal="center" wrapText="1"/>
    </xf>
    <xf numFmtId="0" fontId="55" fillId="2" borderId="126" xfId="293" applyFont="1" applyFill="1" applyBorder="1" applyAlignment="1">
      <alignment horizontal="center" wrapText="1"/>
    </xf>
    <xf numFmtId="0" fontId="57" fillId="2" borderId="129" xfId="308" applyFont="1" applyFill="1" applyBorder="1" applyAlignment="1">
      <alignment horizontal="center" wrapText="1"/>
    </xf>
    <xf numFmtId="0" fontId="10" fillId="2" borderId="129" xfId="308" applyFont="1" applyFill="1" applyBorder="1" applyAlignment="1">
      <alignment horizontal="center" wrapText="1"/>
    </xf>
    <xf numFmtId="0" fontId="59" fillId="2" borderId="132" xfId="322" applyFont="1" applyFill="1" applyBorder="1" applyAlignment="1">
      <alignment horizontal="center" wrapText="1"/>
    </xf>
    <xf numFmtId="0" fontId="61" fillId="2" borderId="137" xfId="339" applyFont="1" applyFill="1" applyBorder="1" applyAlignment="1">
      <alignment horizontal="center"/>
    </xf>
    <xf numFmtId="164" fontId="61" fillId="2" borderId="138" xfId="344" applyNumberFormat="1" applyFont="1" applyFill="1" applyBorder="1" applyAlignment="1">
      <alignment horizontal="right" vertical="top"/>
    </xf>
    <xf numFmtId="164" fontId="61" fillId="2" borderId="133" xfId="345" applyNumberFormat="1" applyFont="1" applyFill="1" applyBorder="1" applyAlignment="1">
      <alignment horizontal="right" vertical="top"/>
    </xf>
    <xf numFmtId="0" fontId="61" fillId="2" borderId="141" xfId="339" applyFont="1" applyFill="1" applyBorder="1" applyAlignment="1">
      <alignment horizontal="center"/>
    </xf>
    <xf numFmtId="0" fontId="61" fillId="2" borderId="142" xfId="339" applyFont="1" applyFill="1" applyBorder="1" applyAlignment="1">
      <alignment horizontal="center"/>
    </xf>
    <xf numFmtId="164" fontId="61" fillId="2" borderId="143" xfId="344" applyNumberFormat="1" applyFont="1" applyFill="1" applyBorder="1" applyAlignment="1">
      <alignment horizontal="right" vertical="top"/>
    </xf>
    <xf numFmtId="164" fontId="61" fillId="2" borderId="144" xfId="344" applyNumberFormat="1" applyFont="1" applyFill="1" applyBorder="1" applyAlignment="1">
      <alignment horizontal="right" vertical="top"/>
    </xf>
    <xf numFmtId="164" fontId="61" fillId="2" borderId="145" xfId="345" applyNumberFormat="1" applyFont="1" applyFill="1" applyBorder="1" applyAlignment="1">
      <alignment horizontal="right" vertical="top"/>
    </xf>
    <xf numFmtId="164" fontId="61" fillId="2" borderId="146" xfId="345" applyNumberFormat="1" applyFont="1" applyFill="1" applyBorder="1" applyAlignment="1">
      <alignment horizontal="right" vertical="top"/>
    </xf>
    <xf numFmtId="0" fontId="10" fillId="2" borderId="133" xfId="355" applyFont="1" applyAlignment="1">
      <alignment horizontal="left" vertical="center" wrapText="1"/>
    </xf>
    <xf numFmtId="0" fontId="10" fillId="2" borderId="133" xfId="355" applyFont="1" applyBorder="1" applyAlignment="1">
      <alignment horizontal="left" vertical="center" wrapText="1"/>
    </xf>
    <xf numFmtId="0" fontId="61" fillId="2" borderId="22" xfId="343" applyFont="1" applyFill="1" applyBorder="1" applyAlignment="1">
      <alignment horizontal="left" vertical="top" wrapText="1"/>
    </xf>
    <xf numFmtId="164" fontId="61" fillId="2" borderId="22" xfId="347" applyNumberFormat="1" applyFont="1" applyFill="1" applyBorder="1" applyAlignment="1">
      <alignment horizontal="right" vertical="top"/>
    </xf>
    <xf numFmtId="164" fontId="61" fillId="2" borderId="147" xfId="347" applyNumberFormat="1" applyFont="1" applyFill="1" applyBorder="1" applyAlignment="1">
      <alignment horizontal="right" vertical="top"/>
    </xf>
    <xf numFmtId="164" fontId="61" fillId="2" borderId="148" xfId="347" applyNumberFormat="1" applyFont="1" applyFill="1" applyBorder="1" applyAlignment="1">
      <alignment horizontal="right" vertical="top"/>
    </xf>
    <xf numFmtId="3" fontId="61" fillId="2" borderId="138" xfId="344" applyNumberFormat="1" applyFont="1" applyFill="1" applyBorder="1" applyAlignment="1">
      <alignment horizontal="right" vertical="top"/>
    </xf>
    <xf numFmtId="3" fontId="61" fillId="2" borderId="143" xfId="344" applyNumberFormat="1" applyFont="1" applyFill="1" applyBorder="1" applyAlignment="1">
      <alignment horizontal="right" vertical="top"/>
    </xf>
    <xf numFmtId="3" fontId="61" fillId="2" borderId="144" xfId="344" applyNumberFormat="1" applyFont="1" applyFill="1" applyBorder="1" applyAlignment="1">
      <alignment horizontal="right" vertical="top"/>
    </xf>
    <xf numFmtId="3" fontId="61" fillId="2" borderId="133" xfId="345" applyNumberFormat="1" applyFont="1" applyFill="1" applyBorder="1" applyAlignment="1">
      <alignment horizontal="right" vertical="top"/>
    </xf>
    <xf numFmtId="3" fontId="61" fillId="2" borderId="145" xfId="345" applyNumberFormat="1" applyFont="1" applyFill="1" applyBorder="1" applyAlignment="1">
      <alignment horizontal="right" vertical="top"/>
    </xf>
    <xf numFmtId="3" fontId="61" fillId="2" borderId="146" xfId="345" applyNumberFormat="1" applyFont="1" applyFill="1" applyBorder="1" applyAlignment="1">
      <alignment horizontal="right" vertical="top"/>
    </xf>
    <xf numFmtId="3" fontId="61" fillId="2" borderId="22" xfId="347" applyNumberFormat="1" applyFont="1" applyFill="1" applyBorder="1" applyAlignment="1">
      <alignment horizontal="right" vertical="top"/>
    </xf>
    <xf numFmtId="3" fontId="61" fillId="2" borderId="147" xfId="347" applyNumberFormat="1" applyFont="1" applyFill="1" applyBorder="1" applyAlignment="1">
      <alignment horizontal="right" vertical="top"/>
    </xf>
    <xf numFmtId="3" fontId="61" fillId="2" borderId="148" xfId="347" applyNumberFormat="1" applyFont="1" applyFill="1" applyBorder="1" applyAlignment="1">
      <alignment horizontal="right" vertical="top"/>
    </xf>
    <xf numFmtId="0" fontId="61" fillId="2" borderId="150" xfId="339" applyFont="1" applyFill="1" applyBorder="1" applyAlignment="1">
      <alignment horizontal="center"/>
    </xf>
    <xf numFmtId="164" fontId="61" fillId="2" borderId="151" xfId="344" applyNumberFormat="1" applyFont="1" applyFill="1" applyBorder="1" applyAlignment="1">
      <alignment horizontal="right" vertical="top"/>
    </xf>
    <xf numFmtId="164" fontId="61" fillId="2" borderId="152" xfId="345" applyNumberFormat="1" applyFont="1" applyFill="1" applyBorder="1" applyAlignment="1">
      <alignment horizontal="right" vertical="top"/>
    </xf>
    <xf numFmtId="164" fontId="61" fillId="2" borderId="153" xfId="347" applyNumberFormat="1" applyFont="1" applyFill="1" applyBorder="1" applyAlignment="1">
      <alignment horizontal="right" vertical="top"/>
    </xf>
    <xf numFmtId="0" fontId="61" fillId="2" borderId="155" xfId="339" applyFont="1" applyFill="1" applyBorder="1" applyAlignment="1">
      <alignment horizontal="center"/>
    </xf>
    <xf numFmtId="164" fontId="61" fillId="2" borderId="156" xfId="344" applyNumberFormat="1" applyFont="1" applyFill="1" applyBorder="1" applyAlignment="1">
      <alignment horizontal="right" vertical="top"/>
    </xf>
    <xf numFmtId="164" fontId="61" fillId="2" borderId="157" xfId="345" applyNumberFormat="1" applyFont="1" applyFill="1" applyBorder="1" applyAlignment="1">
      <alignment horizontal="right" vertical="top"/>
    </xf>
    <xf numFmtId="164" fontId="61" fillId="2" borderId="158" xfId="347" applyNumberFormat="1" applyFont="1" applyFill="1" applyBorder="1" applyAlignment="1">
      <alignment horizontal="right" vertical="top"/>
    </xf>
    <xf numFmtId="3" fontId="61" fillId="2" borderId="156" xfId="344" applyNumberFormat="1" applyFont="1" applyFill="1" applyBorder="1" applyAlignment="1">
      <alignment horizontal="right" vertical="top"/>
    </xf>
    <xf numFmtId="3" fontId="61" fillId="2" borderId="151" xfId="344" applyNumberFormat="1" applyFont="1" applyFill="1" applyBorder="1" applyAlignment="1">
      <alignment horizontal="right" vertical="top"/>
    </xf>
    <xf numFmtId="3" fontId="61" fillId="2" borderId="157" xfId="345" applyNumberFormat="1" applyFont="1" applyFill="1" applyBorder="1" applyAlignment="1">
      <alignment horizontal="right" vertical="top"/>
    </xf>
    <xf numFmtId="3" fontId="61" fillId="2" borderId="152" xfId="345" applyNumberFormat="1" applyFont="1" applyFill="1" applyBorder="1" applyAlignment="1">
      <alignment horizontal="right" vertical="top"/>
    </xf>
    <xf numFmtId="3" fontId="61" fillId="2" borderId="158" xfId="347" applyNumberFormat="1" applyFont="1" applyFill="1" applyBorder="1" applyAlignment="1">
      <alignment horizontal="right" vertical="top"/>
    </xf>
    <xf numFmtId="3" fontId="61" fillId="2" borderId="153" xfId="347" applyNumberFormat="1" applyFont="1" applyFill="1" applyBorder="1" applyAlignment="1">
      <alignment horizontal="right" vertical="top"/>
    </xf>
    <xf numFmtId="0" fontId="63" fillId="2" borderId="161" xfId="763" applyFont="1" applyFill="1" applyBorder="1" applyAlignment="1">
      <alignment horizontal="center" wrapText="1"/>
    </xf>
    <xf numFmtId="0" fontId="63" fillId="2" borderId="163" xfId="780" applyFont="1" applyFill="1" applyBorder="1" applyAlignment="1">
      <alignment horizontal="center"/>
    </xf>
    <xf numFmtId="0" fontId="63" fillId="2" borderId="162" xfId="782" applyFont="1" applyFill="1" applyBorder="1" applyAlignment="1">
      <alignment horizontal="left" vertical="top" wrapText="1"/>
    </xf>
    <xf numFmtId="0" fontId="63" fillId="2" borderId="159" xfId="783" applyFont="1" applyFill="1" applyBorder="1" applyAlignment="1">
      <alignment horizontal="left" vertical="top" wrapText="1"/>
    </xf>
    <xf numFmtId="164" fontId="63" fillId="2" borderId="162" xfId="785" applyNumberFormat="1" applyFont="1" applyFill="1" applyBorder="1" applyAlignment="1">
      <alignment horizontal="right" vertical="top"/>
    </xf>
    <xf numFmtId="164" fontId="63" fillId="2" borderId="159" xfId="786" applyNumberFormat="1" applyFont="1" applyFill="1" applyBorder="1" applyAlignment="1">
      <alignment horizontal="right" vertical="top"/>
    </xf>
    <xf numFmtId="0" fontId="64" fillId="0" borderId="0" xfId="0" applyFont="1" applyAlignment="1">
      <alignment horizontal="left" vertical="center"/>
    </xf>
    <xf numFmtId="0" fontId="0" fillId="0" borderId="159" xfId="0" applyBorder="1" applyAlignment="1">
      <alignment wrapText="1"/>
    </xf>
    <xf numFmtId="165" fontId="64" fillId="0" borderId="0" xfId="0" applyNumberFormat="1" applyFont="1" applyAlignment="1">
      <alignment horizontal="center" vertical="center"/>
    </xf>
    <xf numFmtId="0" fontId="64" fillId="0" borderId="0" xfId="0" applyFont="1" applyAlignment="1">
      <alignment horizontal="center" vertical="center" wrapText="1"/>
    </xf>
    <xf numFmtId="0" fontId="64" fillId="0" borderId="19" xfId="0" applyFont="1" applyBorder="1" applyAlignment="1">
      <alignment horizontal="left" vertical="center"/>
    </xf>
    <xf numFmtId="165" fontId="64" fillId="0" borderId="19" xfId="0" applyNumberFormat="1" applyFont="1" applyBorder="1" applyAlignment="1">
      <alignment horizontal="center" vertical="center"/>
    </xf>
    <xf numFmtId="0" fontId="64" fillId="0" borderId="19" xfId="0" applyFont="1" applyBorder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64" fillId="0" borderId="164" xfId="0" applyFont="1" applyBorder="1" applyAlignment="1">
      <alignment vertical="center" wrapText="1"/>
    </xf>
    <xf numFmtId="0" fontId="9" fillId="0" borderId="164" xfId="0" applyFont="1" applyBorder="1" applyAlignment="1">
      <alignment horizontal="center" vertical="center" wrapText="1"/>
    </xf>
    <xf numFmtId="0" fontId="64" fillId="0" borderId="159" xfId="0" applyFont="1" applyBorder="1" applyAlignment="1">
      <alignment horizontal="left" vertical="center"/>
    </xf>
    <xf numFmtId="165" fontId="64" fillId="0" borderId="159" xfId="0" applyNumberFormat="1" applyFont="1" applyBorder="1" applyAlignment="1">
      <alignment horizontal="center" vertical="center"/>
    </xf>
    <xf numFmtId="0" fontId="64" fillId="0" borderId="159" xfId="0" applyFont="1" applyBorder="1" applyAlignment="1">
      <alignment horizontal="center" vertical="center" wrapText="1"/>
    </xf>
    <xf numFmtId="0" fontId="65" fillId="2" borderId="61" xfId="788" applyFont="1" applyBorder="1" applyAlignment="1">
      <alignment horizontal="right"/>
    </xf>
    <xf numFmtId="0" fontId="65" fillId="2" borderId="61" xfId="788" applyFont="1" applyBorder="1" applyAlignment="1">
      <alignment horizontal="right" wrapText="1"/>
    </xf>
    <xf numFmtId="4" fontId="65" fillId="2" borderId="159" xfId="788" applyNumberFormat="1" applyFont="1" applyBorder="1" applyAlignment="1">
      <alignment horizontal="right" vertical="center"/>
    </xf>
    <xf numFmtId="4" fontId="65" fillId="2" borderId="92" xfId="788" applyNumberFormat="1" applyFont="1" applyBorder="1" applyAlignment="1">
      <alignment horizontal="right" vertical="center"/>
    </xf>
    <xf numFmtId="0" fontId="0" fillId="0" borderId="164" xfId="0" applyBorder="1"/>
    <xf numFmtId="0" fontId="67" fillId="2" borderId="175" xfId="794" applyFont="1" applyFill="1" applyBorder="1" applyAlignment="1">
      <alignment horizontal="center" wrapText="1"/>
    </xf>
    <xf numFmtId="0" fontId="67" fillId="2" borderId="176" xfId="796" applyFont="1" applyFill="1" applyBorder="1" applyAlignment="1">
      <alignment horizontal="center" wrapText="1"/>
    </xf>
    <xf numFmtId="0" fontId="67" fillId="2" borderId="177" xfId="797" applyFont="1" applyFill="1" applyBorder="1" applyAlignment="1">
      <alignment horizontal="left" vertical="top" wrapText="1"/>
    </xf>
    <xf numFmtId="0" fontId="67" fillId="2" borderId="173" xfId="798" applyFont="1" applyFill="1" applyBorder="1" applyAlignment="1">
      <alignment horizontal="left" vertical="top" wrapText="1"/>
    </xf>
    <xf numFmtId="167" fontId="67" fillId="2" borderId="141" xfId="794" applyNumberFormat="1" applyFont="1" applyFill="1" applyBorder="1" applyAlignment="1">
      <alignment horizontal="center" wrapText="1"/>
    </xf>
    <xf numFmtId="167" fontId="67" fillId="2" borderId="175" xfId="794" applyNumberFormat="1" applyFont="1" applyFill="1" applyBorder="1" applyAlignment="1">
      <alignment horizontal="center" wrapText="1"/>
    </xf>
    <xf numFmtId="167" fontId="67" fillId="2" borderId="179" xfId="796" applyNumberFormat="1" applyFont="1" applyFill="1" applyBorder="1" applyAlignment="1">
      <alignment horizontal="center" wrapText="1"/>
    </xf>
    <xf numFmtId="167" fontId="67" fillId="2" borderId="176" xfId="796" applyNumberFormat="1" applyFont="1" applyFill="1" applyBorder="1" applyAlignment="1">
      <alignment horizontal="center" wrapText="1"/>
    </xf>
    <xf numFmtId="0" fontId="67" fillId="2" borderId="173" xfId="791" applyFont="1" applyFill="1" applyBorder="1" applyAlignment="1">
      <alignment wrapText="1"/>
    </xf>
    <xf numFmtId="0" fontId="66" fillId="2" borderId="173" xfId="789" applyFont="1" applyFill="1" applyBorder="1" applyAlignment="1">
      <alignment vertical="center" wrapText="1"/>
    </xf>
    <xf numFmtId="165" fontId="67" fillId="2" borderId="177" xfId="800" applyNumberFormat="1" applyFont="1" applyFill="1" applyBorder="1" applyAlignment="1">
      <alignment horizontal="right" vertical="top"/>
    </xf>
    <xf numFmtId="165" fontId="67" fillId="2" borderId="143" xfId="800" applyNumberFormat="1" applyFont="1" applyFill="1" applyBorder="1" applyAlignment="1">
      <alignment horizontal="right" vertical="top"/>
    </xf>
    <xf numFmtId="165" fontId="67" fillId="2" borderId="173" xfId="801" applyNumberFormat="1" applyFont="1" applyFill="1" applyBorder="1" applyAlignment="1">
      <alignment horizontal="right" vertical="top"/>
    </xf>
    <xf numFmtId="165" fontId="67" fillId="2" borderId="145" xfId="801" applyNumberFormat="1" applyFont="1" applyFill="1" applyBorder="1" applyAlignment="1">
      <alignment horizontal="right" vertical="top"/>
    </xf>
    <xf numFmtId="0" fontId="11" fillId="2" borderId="178" xfId="799" applyFont="1" applyFill="1" applyBorder="1" applyAlignment="1">
      <alignment horizontal="left" vertical="top" wrapText="1"/>
    </xf>
    <xf numFmtId="165" fontId="11" fillId="2" borderId="178" xfId="802" applyNumberFormat="1" applyFont="1" applyFill="1" applyBorder="1" applyAlignment="1">
      <alignment horizontal="right" vertical="top"/>
    </xf>
    <xf numFmtId="165" fontId="11" fillId="2" borderId="180" xfId="802" applyNumberFormat="1" applyFont="1" applyFill="1" applyBorder="1" applyAlignment="1">
      <alignment horizontal="right" vertical="top"/>
    </xf>
    <xf numFmtId="0" fontId="10" fillId="2" borderId="174" xfId="792" applyFont="1" applyFill="1" applyBorder="1" applyAlignment="1">
      <alignment wrapText="1"/>
    </xf>
    <xf numFmtId="0" fontId="18" fillId="2" borderId="49" xfId="798" applyFont="1" applyFill="1" applyBorder="1" applyAlignment="1">
      <alignment horizontal="left" vertical="top" wrapText="1"/>
    </xf>
    <xf numFmtId="165" fontId="18" fillId="2" borderId="49" xfId="801" applyNumberFormat="1" applyFont="1" applyFill="1" applyBorder="1" applyAlignment="1">
      <alignment horizontal="right" vertical="top"/>
    </xf>
    <xf numFmtId="165" fontId="18" fillId="2" borderId="181" xfId="801" applyNumberFormat="1" applyFont="1" applyFill="1" applyBorder="1" applyAlignment="1">
      <alignment horizontal="right" vertical="top"/>
    </xf>
    <xf numFmtId="0" fontId="18" fillId="2" borderId="85" xfId="798" applyFont="1" applyFill="1" applyBorder="1" applyAlignment="1">
      <alignment horizontal="left" vertical="top" wrapText="1"/>
    </xf>
    <xf numFmtId="165" fontId="18" fillId="2" borderId="85" xfId="801" applyNumberFormat="1" applyFont="1" applyFill="1" applyBorder="1" applyAlignment="1">
      <alignment horizontal="right" vertical="top"/>
    </xf>
    <xf numFmtId="165" fontId="18" fillId="2" borderId="182" xfId="801" applyNumberFormat="1" applyFont="1" applyFill="1" applyBorder="1" applyAlignment="1">
      <alignment horizontal="right" vertical="top"/>
    </xf>
    <xf numFmtId="165" fontId="22" fillId="0" borderId="60" xfId="0" applyNumberFormat="1" applyFont="1" applyFill="1" applyBorder="1" applyAlignment="1">
      <alignment horizontal="right" vertical="center"/>
    </xf>
    <xf numFmtId="165" fontId="22" fillId="0" borderId="9" xfId="0" applyNumberFormat="1" applyFont="1" applyFill="1" applyBorder="1" applyAlignment="1">
      <alignment horizontal="right" vertical="center"/>
    </xf>
    <xf numFmtId="165" fontId="22" fillId="0" borderId="8" xfId="0" applyNumberFormat="1" applyFont="1" applyFill="1" applyBorder="1" applyAlignment="1">
      <alignment horizontal="right" vertical="center"/>
    </xf>
    <xf numFmtId="165" fontId="64" fillId="0" borderId="60" xfId="0" applyNumberFormat="1" applyFont="1" applyFill="1" applyBorder="1" applyAlignment="1">
      <alignment horizontal="right" vertical="center"/>
    </xf>
    <xf numFmtId="165" fontId="64" fillId="0" borderId="198" xfId="0" applyNumberFormat="1" applyFont="1" applyFill="1" applyBorder="1" applyAlignment="1">
      <alignment horizontal="right" vertical="center"/>
    </xf>
    <xf numFmtId="165" fontId="64" fillId="0" borderId="8" xfId="0" applyNumberFormat="1" applyFont="1" applyFill="1" applyBorder="1" applyAlignment="1">
      <alignment horizontal="right" vertical="center"/>
    </xf>
    <xf numFmtId="165" fontId="22" fillId="0" borderId="0" xfId="0" applyNumberFormat="1" applyFont="1" applyFill="1" applyAlignment="1">
      <alignment horizontal="right" vertical="center"/>
    </xf>
    <xf numFmtId="165" fontId="22" fillId="0" borderId="17" xfId="0" applyNumberFormat="1" applyFont="1" applyFill="1" applyBorder="1" applyAlignment="1">
      <alignment horizontal="right" vertical="center"/>
    </xf>
    <xf numFmtId="165" fontId="22" fillId="0" borderId="31" xfId="0" applyNumberFormat="1" applyFont="1" applyFill="1" applyBorder="1" applyAlignment="1">
      <alignment horizontal="right" vertical="center"/>
    </xf>
    <xf numFmtId="165" fontId="64" fillId="0" borderId="31" xfId="0" applyNumberFormat="1" applyFont="1" applyFill="1" applyBorder="1" applyAlignment="1">
      <alignment horizontal="right" vertical="center"/>
    </xf>
    <xf numFmtId="165" fontId="64" fillId="0" borderId="0" xfId="0" applyNumberFormat="1" applyFont="1" applyFill="1" applyAlignment="1">
      <alignment horizontal="right" vertical="center"/>
    </xf>
    <xf numFmtId="165" fontId="64" fillId="0" borderId="197" xfId="0" applyNumberFormat="1" applyFont="1" applyFill="1" applyBorder="1" applyAlignment="1">
      <alignment horizontal="right" vertical="center"/>
    </xf>
    <xf numFmtId="165" fontId="22" fillId="0" borderId="173" xfId="0" applyNumberFormat="1" applyFont="1" applyFill="1" applyBorder="1" applyAlignment="1">
      <alignment horizontal="right" vertical="center"/>
    </xf>
    <xf numFmtId="165" fontId="64" fillId="0" borderId="173" xfId="0" applyNumberFormat="1" applyFont="1" applyFill="1" applyBorder="1" applyAlignment="1">
      <alignment horizontal="right" vertical="center"/>
    </xf>
    <xf numFmtId="165" fontId="22" fillId="0" borderId="165" xfId="0" applyNumberFormat="1" applyFont="1" applyFill="1" applyBorder="1" applyAlignment="1">
      <alignment horizontal="right" vertical="center"/>
    </xf>
    <xf numFmtId="165" fontId="22" fillId="0" borderId="11" xfId="0" applyNumberFormat="1" applyFont="1" applyFill="1" applyBorder="1" applyAlignment="1">
      <alignment horizontal="right" vertical="center"/>
    </xf>
    <xf numFmtId="165" fontId="22" fillId="0" borderId="10" xfId="0" applyNumberFormat="1" applyFont="1" applyFill="1" applyBorder="1" applyAlignment="1">
      <alignment horizontal="right" vertical="center"/>
    </xf>
    <xf numFmtId="165" fontId="64" fillId="0" borderId="10" xfId="0" applyNumberFormat="1" applyFont="1" applyFill="1" applyBorder="1" applyAlignment="1">
      <alignment horizontal="right" vertical="center"/>
    </xf>
    <xf numFmtId="165" fontId="64" fillId="0" borderId="165" xfId="0" applyNumberFormat="1" applyFont="1" applyFill="1" applyBorder="1" applyAlignment="1">
      <alignment horizontal="right" vertical="center"/>
    </xf>
    <xf numFmtId="165" fontId="64" fillId="0" borderId="199" xfId="0" applyNumberFormat="1" applyFont="1" applyFill="1" applyBorder="1" applyAlignment="1">
      <alignment horizontal="right" vertical="center"/>
    </xf>
    <xf numFmtId="0" fontId="64" fillId="0" borderId="184" xfId="0" applyFont="1" applyFill="1" applyBorder="1" applyAlignment="1">
      <alignment vertical="center"/>
    </xf>
    <xf numFmtId="0" fontId="64" fillId="0" borderId="188" xfId="0" applyFont="1" applyFill="1" applyBorder="1" applyAlignment="1">
      <alignment horizontal="center" vertical="center" wrapText="1"/>
    </xf>
    <xf numFmtId="0" fontId="64" fillId="0" borderId="189" xfId="0" applyFont="1" applyFill="1" applyBorder="1" applyAlignment="1">
      <alignment horizontal="center" vertical="center" wrapText="1"/>
    </xf>
    <xf numFmtId="0" fontId="64" fillId="0" borderId="184" xfId="0" applyFont="1" applyFill="1" applyBorder="1" applyAlignment="1">
      <alignment horizontal="center" vertical="center" wrapText="1"/>
    </xf>
    <xf numFmtId="0" fontId="64" fillId="0" borderId="183" xfId="0" applyFont="1" applyFill="1" applyBorder="1" applyAlignment="1">
      <alignment horizontal="left" vertical="center"/>
    </xf>
    <xf numFmtId="9" fontId="64" fillId="0" borderId="190" xfId="0" applyNumberFormat="1" applyFont="1" applyFill="1" applyBorder="1" applyAlignment="1">
      <alignment horizontal="right" vertical="center"/>
    </xf>
    <xf numFmtId="9" fontId="64" fillId="0" borderId="191" xfId="0" applyNumberFormat="1" applyFont="1" applyFill="1" applyBorder="1" applyAlignment="1">
      <alignment horizontal="right" vertical="center"/>
    </xf>
    <xf numFmtId="0" fontId="0" fillId="0" borderId="192" xfId="0" applyFill="1" applyBorder="1" applyAlignment="1">
      <alignment wrapText="1"/>
    </xf>
    <xf numFmtId="0" fontId="0" fillId="0" borderId="193" xfId="0" applyFill="1" applyBorder="1" applyAlignment="1">
      <alignment wrapText="1"/>
    </xf>
    <xf numFmtId="0" fontId="0" fillId="0" borderId="174" xfId="0" applyFill="1" applyBorder="1" applyAlignment="1">
      <alignment wrapText="1"/>
    </xf>
    <xf numFmtId="0" fontId="9" fillId="0" borderId="183" xfId="0" applyFont="1" applyFill="1" applyBorder="1" applyAlignment="1">
      <alignment horizontal="left" vertical="center"/>
    </xf>
    <xf numFmtId="165" fontId="21" fillId="0" borderId="183" xfId="0" applyNumberFormat="1" applyFont="1" applyFill="1" applyBorder="1" applyAlignment="1">
      <alignment horizontal="right" vertical="center"/>
    </xf>
    <xf numFmtId="165" fontId="21" fillId="0" borderId="194" xfId="0" applyNumberFormat="1" applyFont="1" applyFill="1" applyBorder="1" applyAlignment="1">
      <alignment horizontal="right" vertical="center"/>
    </xf>
    <xf numFmtId="165" fontId="9" fillId="0" borderId="194" xfId="0" applyNumberFormat="1" applyFont="1" applyFill="1" applyBorder="1" applyAlignment="1">
      <alignment horizontal="right" vertical="center"/>
    </xf>
    <xf numFmtId="165" fontId="9" fillId="0" borderId="195" xfId="0" applyNumberFormat="1" applyFont="1" applyFill="1" applyBorder="1" applyAlignment="1">
      <alignment horizontal="right" vertical="center"/>
    </xf>
    <xf numFmtId="165" fontId="9" fillId="0" borderId="183" xfId="0" applyNumberFormat="1" applyFont="1" applyFill="1" applyBorder="1" applyAlignment="1">
      <alignment horizontal="right" vertical="center"/>
    </xf>
    <xf numFmtId="165" fontId="9" fillId="0" borderId="196" xfId="0" applyNumberFormat="1" applyFont="1" applyFill="1" applyBorder="1" applyAlignment="1">
      <alignment horizontal="right" vertical="center"/>
    </xf>
    <xf numFmtId="0" fontId="22" fillId="0" borderId="0" xfId="0" applyFont="1" applyFill="1" applyAlignment="1">
      <alignment horizontal="left" vertical="center"/>
    </xf>
    <xf numFmtId="165" fontId="64" fillId="0" borderId="17" xfId="0" applyNumberFormat="1" applyFont="1" applyFill="1" applyBorder="1" applyAlignment="1">
      <alignment horizontal="right" vertical="center"/>
    </xf>
    <xf numFmtId="0" fontId="22" fillId="0" borderId="40" xfId="0" applyFont="1" applyFill="1" applyBorder="1" applyAlignment="1">
      <alignment horizontal="left" vertical="center"/>
    </xf>
    <xf numFmtId="165" fontId="22" fillId="0" borderId="98" xfId="0" applyNumberFormat="1" applyFont="1" applyFill="1" applyBorder="1" applyAlignment="1">
      <alignment horizontal="right" vertical="center"/>
    </xf>
    <xf numFmtId="165" fontId="22" fillId="0" borderId="200" xfId="0" applyNumberFormat="1" applyFont="1" applyFill="1" applyBorder="1" applyAlignment="1">
      <alignment horizontal="right" vertical="center"/>
    </xf>
    <xf numFmtId="165" fontId="22" fillId="0" borderId="201" xfId="0" applyNumberFormat="1" applyFont="1" applyFill="1" applyBorder="1" applyAlignment="1">
      <alignment horizontal="right" vertical="center"/>
    </xf>
    <xf numFmtId="165" fontId="64" fillId="0" borderId="201" xfId="0" applyNumberFormat="1" applyFont="1" applyFill="1" applyBorder="1" applyAlignment="1">
      <alignment horizontal="right" vertical="center"/>
    </xf>
    <xf numFmtId="165" fontId="64" fillId="0" borderId="98" xfId="0" applyNumberFormat="1" applyFont="1" applyFill="1" applyBorder="1" applyAlignment="1">
      <alignment horizontal="right" vertical="center"/>
    </xf>
    <xf numFmtId="165" fontId="64" fillId="0" borderId="202" xfId="0" applyNumberFormat="1" applyFont="1" applyFill="1" applyBorder="1" applyAlignment="1">
      <alignment horizontal="right" vertical="center"/>
    </xf>
    <xf numFmtId="0" fontId="10" fillId="2" borderId="5" xfId="19" applyFont="1" applyFill="1" applyBorder="1" applyAlignment="1">
      <alignment horizontal="left" vertical="center" wrapText="1"/>
    </xf>
    <xf numFmtId="0" fontId="11" fillId="0" borderId="204" xfId="0" applyFont="1" applyBorder="1" applyAlignment="1">
      <alignment horizontal="center" vertical="center" wrapText="1"/>
    </xf>
    <xf numFmtId="0" fontId="11" fillId="0" borderId="203" xfId="0" applyFont="1" applyBorder="1" applyAlignment="1">
      <alignment horizontal="center" vertical="center" wrapText="1"/>
    </xf>
    <xf numFmtId="0" fontId="28" fillId="0" borderId="203" xfId="0" applyFont="1" applyBorder="1" applyAlignment="1">
      <alignment horizontal="center" vertical="center" wrapText="1"/>
    </xf>
    <xf numFmtId="165" fontId="10" fillId="0" borderId="51" xfId="0" applyNumberFormat="1" applyFont="1" applyBorder="1" applyAlignment="1">
      <alignment horizontal="center" vertical="center"/>
    </xf>
    <xf numFmtId="165" fontId="10" fillId="0" borderId="206" xfId="0" applyNumberFormat="1" applyFont="1" applyBorder="1" applyAlignment="1">
      <alignment horizontal="center" vertical="center"/>
    </xf>
    <xf numFmtId="0" fontId="28" fillId="0" borderId="207" xfId="0" applyFont="1" applyBorder="1" applyAlignment="1">
      <alignment horizontal="center" vertical="center" wrapText="1"/>
    </xf>
    <xf numFmtId="0" fontId="28" fillId="0" borderId="208" xfId="0" applyFont="1" applyBorder="1" applyAlignment="1">
      <alignment horizontal="center" vertical="center" wrapText="1"/>
    </xf>
    <xf numFmtId="0" fontId="28" fillId="0" borderId="209" xfId="0" applyFont="1" applyBorder="1" applyAlignment="1">
      <alignment horizontal="center" vertical="center" wrapText="1"/>
    </xf>
    <xf numFmtId="0" fontId="11" fillId="2" borderId="60" xfId="107" applyFont="1" applyFill="1" applyBorder="1" applyAlignment="1">
      <alignment horizontal="center" vertical="center"/>
    </xf>
    <xf numFmtId="0" fontId="11" fillId="2" borderId="60" xfId="104" applyFont="1" applyFill="1" applyBorder="1" applyAlignment="1">
      <alignment horizontal="left" vertical="center" wrapText="1"/>
    </xf>
    <xf numFmtId="165" fontId="10" fillId="0" borderId="209" xfId="0" applyNumberFormat="1" applyFont="1" applyBorder="1" applyAlignment="1">
      <alignment horizontal="center" vertical="center"/>
    </xf>
    <xf numFmtId="165" fontId="10" fillId="0" borderId="62" xfId="0" applyNumberFormat="1" applyFont="1" applyBorder="1" applyAlignment="1">
      <alignment horizontal="center" vertical="center"/>
    </xf>
    <xf numFmtId="165" fontId="10" fillId="0" borderId="210" xfId="0" applyNumberFormat="1" applyFont="1" applyBorder="1" applyAlignment="1">
      <alignment horizontal="center" vertical="center"/>
    </xf>
    <xf numFmtId="0" fontId="30" fillId="2" borderId="73" xfId="129" applyFont="1" applyFill="1" applyBorder="1" applyAlignment="1">
      <alignment horizontal="left" vertical="center" wrapText="1"/>
    </xf>
    <xf numFmtId="0" fontId="28" fillId="0" borderId="211" xfId="0" applyFont="1" applyBorder="1" applyAlignment="1">
      <alignment horizontal="center" vertical="center" wrapText="1"/>
    </xf>
    <xf numFmtId="0" fontId="28" fillId="0" borderId="212" xfId="0" applyFont="1" applyBorder="1" applyAlignment="1">
      <alignment horizontal="center" vertical="center" wrapText="1"/>
    </xf>
    <xf numFmtId="165" fontId="10" fillId="0" borderId="171" xfId="0" applyNumberFormat="1" applyFont="1" applyBorder="1" applyAlignment="1">
      <alignment horizontal="center" vertical="center"/>
    </xf>
    <xf numFmtId="165" fontId="10" fillId="0" borderId="213" xfId="0" applyNumberFormat="1" applyFont="1" applyBorder="1" applyAlignment="1">
      <alignment horizontal="center" vertical="center"/>
    </xf>
    <xf numFmtId="0" fontId="23" fillId="0" borderId="0" xfId="0" applyFont="1" applyAlignment="1"/>
    <xf numFmtId="0" fontId="23" fillId="0" borderId="81" xfId="0" applyFont="1" applyBorder="1" applyAlignment="1"/>
    <xf numFmtId="0" fontId="23" fillId="0" borderId="12" xfId="0" applyFont="1" applyBorder="1" applyAlignment="1">
      <alignment horizontal="right" wrapText="1"/>
    </xf>
    <xf numFmtId="0" fontId="23" fillId="0" borderId="7" xfId="0" applyFont="1" applyBorder="1" applyAlignment="1">
      <alignment horizontal="right" wrapText="1"/>
    </xf>
    <xf numFmtId="0" fontId="23" fillId="0" borderId="59" xfId="0" applyFont="1" applyBorder="1" applyAlignment="1">
      <alignment horizontal="right" wrapText="1"/>
    </xf>
    <xf numFmtId="0" fontId="23" fillId="0" borderId="81" xfId="0" applyFont="1" applyBorder="1" applyAlignment="1">
      <alignment horizontal="left" wrapText="1"/>
    </xf>
    <xf numFmtId="0" fontId="23" fillId="0" borderId="37" xfId="0" applyFont="1" applyBorder="1" applyAlignment="1">
      <alignment horizontal="left" wrapText="1"/>
    </xf>
    <xf numFmtId="0" fontId="23" fillId="0" borderId="37" xfId="0" applyFont="1" applyBorder="1" applyAlignment="1">
      <alignment wrapText="1"/>
    </xf>
    <xf numFmtId="0" fontId="20" fillId="0" borderId="0" xfId="0" applyFont="1"/>
    <xf numFmtId="0" fontId="68" fillId="0" borderId="76" xfId="0" applyFont="1" applyBorder="1" applyAlignment="1">
      <alignment horizontal="left"/>
    </xf>
    <xf numFmtId="0" fontId="69" fillId="0" borderId="84" xfId="0" applyFont="1" applyBorder="1" applyAlignment="1">
      <alignment horizontal="right"/>
    </xf>
    <xf numFmtId="0" fontId="69" fillId="0" borderId="31" xfId="0" applyFont="1" applyBorder="1" applyAlignment="1">
      <alignment horizontal="right"/>
    </xf>
    <xf numFmtId="0" fontId="69" fillId="0" borderId="89" xfId="0" applyFont="1" applyBorder="1" applyAlignment="1">
      <alignment horizontal="right" wrapText="1"/>
    </xf>
    <xf numFmtId="0" fontId="69" fillId="0" borderId="76" xfId="0" applyFont="1" applyBorder="1" applyAlignment="1">
      <alignment horizontal="right" wrapText="1"/>
    </xf>
    <xf numFmtId="0" fontId="69" fillId="0" borderId="51" xfId="0" applyFont="1" applyBorder="1" applyAlignment="1">
      <alignment horizontal="right" wrapText="1"/>
    </xf>
    <xf numFmtId="0" fontId="69" fillId="0" borderId="9" xfId="0" applyFont="1" applyBorder="1" applyAlignment="1">
      <alignment horizontal="right" wrapText="1"/>
    </xf>
    <xf numFmtId="0" fontId="69" fillId="0" borderId="76" xfId="0" applyFont="1" applyBorder="1" applyAlignment="1">
      <alignment wrapText="1"/>
    </xf>
    <xf numFmtId="0" fontId="69" fillId="0" borderId="9" xfId="0" applyFont="1" applyBorder="1" applyAlignment="1"/>
    <xf numFmtId="0" fontId="69" fillId="0" borderId="0" xfId="0" applyFont="1" applyAlignment="1"/>
    <xf numFmtId="0" fontId="70" fillId="0" borderId="0" xfId="0" applyFont="1" applyAlignment="1">
      <alignment horizontal="left"/>
    </xf>
    <xf numFmtId="3" fontId="70" fillId="0" borderId="84" xfId="0" applyNumberFormat="1" applyFont="1" applyBorder="1" applyAlignment="1"/>
    <xf numFmtId="165" fontId="70" fillId="0" borderId="31" xfId="0" applyNumberFormat="1" applyFont="1" applyBorder="1" applyAlignment="1"/>
    <xf numFmtId="0" fontId="71" fillId="0" borderId="0" xfId="0" applyFont="1" applyAlignment="1">
      <alignment horizontal="left"/>
    </xf>
    <xf numFmtId="3" fontId="71" fillId="0" borderId="84" xfId="0" applyNumberFormat="1" applyFont="1" applyBorder="1" applyAlignment="1"/>
    <xf numFmtId="165" fontId="71" fillId="0" borderId="31" xfId="0" applyNumberFormat="1" applyFont="1" applyBorder="1" applyAlignment="1"/>
    <xf numFmtId="165" fontId="71" fillId="0" borderId="17" xfId="0" applyNumberFormat="1" applyFont="1" applyBorder="1" applyAlignment="1"/>
    <xf numFmtId="165" fontId="71" fillId="0" borderId="76" xfId="0" applyNumberFormat="1" applyFont="1" applyBorder="1" applyAlignment="1"/>
    <xf numFmtId="0" fontId="72" fillId="0" borderId="0" xfId="0" applyFont="1" applyAlignment="1">
      <alignment horizontal="left" wrapText="1"/>
    </xf>
    <xf numFmtId="165" fontId="70" fillId="0" borderId="17" xfId="0" applyNumberFormat="1" applyFont="1" applyBorder="1" applyAlignment="1"/>
    <xf numFmtId="165" fontId="70" fillId="0" borderId="76" xfId="0" applyNumberFormat="1" applyFont="1" applyBorder="1" applyAlignment="1"/>
    <xf numFmtId="165" fontId="70" fillId="0" borderId="0" xfId="0" applyNumberFormat="1" applyFont="1" applyAlignment="1"/>
    <xf numFmtId="0" fontId="70" fillId="0" borderId="85" xfId="0" applyFont="1" applyBorder="1" applyAlignment="1"/>
    <xf numFmtId="3" fontId="70" fillId="0" borderId="86" xfId="0" applyNumberFormat="1" applyFont="1" applyBorder="1" applyAlignment="1"/>
    <xf numFmtId="165" fontId="69" fillId="0" borderId="90" xfId="0" applyNumberFormat="1" applyFont="1" applyBorder="1" applyAlignment="1"/>
    <xf numFmtId="165" fontId="69" fillId="0" borderId="85" xfId="0" applyNumberFormat="1" applyFont="1" applyBorder="1" applyAlignment="1"/>
    <xf numFmtId="0" fontId="74" fillId="0" borderId="0" xfId="0" applyFont="1" applyAlignment="1">
      <alignment horizontal="left"/>
    </xf>
    <xf numFmtId="0" fontId="23" fillId="0" borderId="17" xfId="0" applyFont="1" applyBorder="1" applyAlignment="1">
      <alignment horizontal="right"/>
    </xf>
    <xf numFmtId="0" fontId="28" fillId="0" borderId="0" xfId="0" applyFont="1" applyAlignment="1">
      <alignment horizontal="left" wrapText="1"/>
    </xf>
    <xf numFmtId="3" fontId="28" fillId="0" borderId="17" xfId="0" applyNumberFormat="1" applyFont="1" applyBorder="1" applyAlignment="1">
      <alignment horizontal="right"/>
    </xf>
    <xf numFmtId="3" fontId="72" fillId="0" borderId="17" xfId="0" applyNumberFormat="1" applyFont="1" applyBorder="1" applyAlignment="1">
      <alignment horizontal="right"/>
    </xf>
    <xf numFmtId="0" fontId="72" fillId="0" borderId="17" xfId="0" applyFont="1" applyBorder="1" applyAlignment="1">
      <alignment horizontal="left"/>
    </xf>
    <xf numFmtId="0" fontId="28" fillId="0" borderId="42" xfId="0" applyFont="1" applyBorder="1" applyAlignment="1">
      <alignment horizontal="left" wrapText="1"/>
    </xf>
    <xf numFmtId="3" fontId="28" fillId="0" borderId="75" xfId="0" applyNumberFormat="1" applyFont="1" applyBorder="1" applyAlignment="1">
      <alignment horizontal="right"/>
    </xf>
    <xf numFmtId="0" fontId="74" fillId="0" borderId="0" xfId="0" applyFont="1" applyAlignment="1">
      <alignment horizontal="left" wrapText="1"/>
    </xf>
    <xf numFmtId="0" fontId="23" fillId="0" borderId="17" xfId="0" applyFont="1" applyBorder="1" applyAlignment="1">
      <alignment horizontal="left"/>
    </xf>
    <xf numFmtId="165" fontId="20" fillId="0" borderId="0" xfId="0" applyNumberFormat="1" applyFont="1"/>
    <xf numFmtId="165" fontId="28" fillId="0" borderId="31" xfId="0" applyNumberFormat="1" applyFont="1" applyBorder="1" applyAlignment="1">
      <alignment horizontal="right"/>
    </xf>
    <xf numFmtId="0" fontId="65" fillId="2" borderId="92" xfId="788" applyFont="1" applyBorder="1" applyAlignment="1">
      <alignment horizontal="left" vertical="center" wrapText="1"/>
    </xf>
    <xf numFmtId="165" fontId="22" fillId="0" borderId="84" xfId="0" applyNumberFormat="1" applyFont="1" applyBorder="1" applyAlignment="1">
      <alignment horizontal="right" vertical="center"/>
    </xf>
    <xf numFmtId="165" fontId="22" fillId="0" borderId="159" xfId="0" applyNumberFormat="1" applyFont="1" applyBorder="1" applyAlignment="1">
      <alignment horizontal="right" vertical="center"/>
    </xf>
    <xf numFmtId="165" fontId="22" fillId="0" borderId="171" xfId="0" applyNumberFormat="1" applyFont="1" applyBorder="1" applyAlignment="1">
      <alignment horizontal="right" vertical="center"/>
    </xf>
    <xf numFmtId="165" fontId="22" fillId="0" borderId="168" xfId="0" applyNumberFormat="1" applyFont="1" applyBorder="1" applyAlignment="1">
      <alignment horizontal="right" vertical="center"/>
    </xf>
    <xf numFmtId="165" fontId="22" fillId="0" borderId="92" xfId="0" applyNumberFormat="1" applyFont="1" applyBorder="1" applyAlignment="1">
      <alignment horizontal="right" vertical="center"/>
    </xf>
    <xf numFmtId="165" fontId="22" fillId="0" borderId="172" xfId="0" applyNumberFormat="1" applyFont="1" applyBorder="1" applyAlignment="1">
      <alignment horizontal="right" vertical="center"/>
    </xf>
    <xf numFmtId="0" fontId="34" fillId="0" borderId="173" xfId="0" applyNumberFormat="1" applyFont="1" applyFill="1" applyBorder="1" applyAlignment="1">
      <alignment horizontal="left" vertical="center"/>
    </xf>
    <xf numFmtId="0" fontId="34" fillId="0" borderId="98" xfId="0" applyNumberFormat="1" applyFont="1" applyFill="1" applyBorder="1" applyAlignment="1">
      <alignment horizontal="left" vertical="center"/>
    </xf>
    <xf numFmtId="0" fontId="34" fillId="0" borderId="165" xfId="0" applyNumberFormat="1" applyFont="1" applyFill="1" applyBorder="1" applyAlignment="1">
      <alignment horizontal="left" vertical="center"/>
    </xf>
    <xf numFmtId="2" fontId="10" fillId="2" borderId="133" xfId="355" applyNumberFormat="1" applyFont="1" applyAlignment="1">
      <alignment horizontal="left" vertical="center" wrapText="1"/>
    </xf>
    <xf numFmtId="2" fontId="10" fillId="2" borderId="133" xfId="355" applyNumberFormat="1" applyFont="1" applyBorder="1" applyAlignment="1">
      <alignment horizontal="left" vertical="center" wrapText="1"/>
    </xf>
    <xf numFmtId="2" fontId="61" fillId="2" borderId="22" xfId="343" applyNumberFormat="1" applyFont="1" applyFill="1" applyBorder="1" applyAlignment="1">
      <alignment horizontal="left" vertical="center" wrapText="1"/>
    </xf>
    <xf numFmtId="165" fontId="61" fillId="2" borderId="138" xfId="344" applyNumberFormat="1" applyFont="1" applyFill="1" applyBorder="1" applyAlignment="1">
      <alignment horizontal="center" vertical="center"/>
    </xf>
    <xf numFmtId="165" fontId="61" fillId="2" borderId="156" xfId="344" applyNumberFormat="1" applyFont="1" applyFill="1" applyBorder="1" applyAlignment="1">
      <alignment horizontal="center" vertical="center"/>
    </xf>
    <xf numFmtId="165" fontId="61" fillId="2" borderId="144" xfId="344" applyNumberFormat="1" applyFont="1" applyFill="1" applyBorder="1" applyAlignment="1">
      <alignment horizontal="center" vertical="center"/>
    </xf>
    <xf numFmtId="165" fontId="61" fillId="2" borderId="143" xfId="344" applyNumberFormat="1" applyFont="1" applyFill="1" applyBorder="1" applyAlignment="1">
      <alignment horizontal="center" vertical="center"/>
    </xf>
    <xf numFmtId="165" fontId="61" fillId="2" borderId="151" xfId="344" applyNumberFormat="1" applyFont="1" applyFill="1" applyBorder="1" applyAlignment="1">
      <alignment horizontal="center" vertical="center"/>
    </xf>
    <xf numFmtId="165" fontId="61" fillId="2" borderId="133" xfId="345" applyNumberFormat="1" applyFont="1" applyFill="1" applyBorder="1" applyAlignment="1">
      <alignment horizontal="center" vertical="center"/>
    </xf>
    <xf numFmtId="165" fontId="61" fillId="2" borderId="157" xfId="345" applyNumberFormat="1" applyFont="1" applyFill="1" applyBorder="1" applyAlignment="1">
      <alignment horizontal="center" vertical="center"/>
    </xf>
    <xf numFmtId="165" fontId="61" fillId="2" borderId="146" xfId="345" applyNumberFormat="1" applyFont="1" applyFill="1" applyBorder="1" applyAlignment="1">
      <alignment horizontal="center" vertical="center"/>
    </xf>
    <xf numFmtId="165" fontId="61" fillId="2" borderId="145" xfId="345" applyNumberFormat="1" applyFont="1" applyFill="1" applyBorder="1" applyAlignment="1">
      <alignment horizontal="center" vertical="center"/>
    </xf>
    <xf numFmtId="165" fontId="61" fillId="2" borderId="152" xfId="345" applyNumberFormat="1" applyFont="1" applyFill="1" applyBorder="1" applyAlignment="1">
      <alignment horizontal="center" vertical="center"/>
    </xf>
    <xf numFmtId="165" fontId="61" fillId="2" borderId="22" xfId="347" applyNumberFormat="1" applyFont="1" applyFill="1" applyBorder="1" applyAlignment="1">
      <alignment horizontal="center" vertical="center"/>
    </xf>
    <xf numFmtId="165" fontId="61" fillId="2" borderId="158" xfId="347" applyNumberFormat="1" applyFont="1" applyFill="1" applyBorder="1" applyAlignment="1">
      <alignment horizontal="center" vertical="center"/>
    </xf>
    <xf numFmtId="165" fontId="61" fillId="2" borderId="148" xfId="347" applyNumberFormat="1" applyFont="1" applyFill="1" applyBorder="1" applyAlignment="1">
      <alignment horizontal="center" vertical="center"/>
    </xf>
    <xf numFmtId="165" fontId="61" fillId="2" borderId="147" xfId="347" applyNumberFormat="1" applyFont="1" applyFill="1" applyBorder="1" applyAlignment="1">
      <alignment horizontal="center" vertical="center"/>
    </xf>
    <xf numFmtId="165" fontId="61" fillId="2" borderId="153" xfId="347" applyNumberFormat="1" applyFont="1" applyFill="1" applyBorder="1" applyAlignment="1">
      <alignment horizontal="center" vertical="center"/>
    </xf>
    <xf numFmtId="164" fontId="61" fillId="2" borderId="138" xfId="344" applyNumberFormat="1" applyFont="1" applyFill="1" applyBorder="1" applyAlignment="1">
      <alignment horizontal="center" vertical="center"/>
    </xf>
    <xf numFmtId="164" fontId="61" fillId="2" borderId="156" xfId="344" applyNumberFormat="1" applyFont="1" applyFill="1" applyBorder="1" applyAlignment="1">
      <alignment horizontal="center" vertical="center"/>
    </xf>
    <xf numFmtId="164" fontId="61" fillId="2" borderId="144" xfId="344" applyNumberFormat="1" applyFont="1" applyFill="1" applyBorder="1" applyAlignment="1">
      <alignment horizontal="center" vertical="center"/>
    </xf>
    <xf numFmtId="164" fontId="61" fillId="2" borderId="143" xfId="344" applyNumberFormat="1" applyFont="1" applyFill="1" applyBorder="1" applyAlignment="1">
      <alignment horizontal="center" vertical="center"/>
    </xf>
    <xf numFmtId="164" fontId="61" fillId="2" borderId="151" xfId="344" applyNumberFormat="1" applyFont="1" applyFill="1" applyBorder="1" applyAlignment="1">
      <alignment horizontal="center" vertical="center"/>
    </xf>
    <xf numFmtId="164" fontId="61" fillId="2" borderId="133" xfId="345" applyNumberFormat="1" applyFont="1" applyFill="1" applyBorder="1" applyAlignment="1">
      <alignment horizontal="center" vertical="center"/>
    </xf>
    <xf numFmtId="164" fontId="61" fillId="2" borderId="157" xfId="345" applyNumberFormat="1" applyFont="1" applyFill="1" applyBorder="1" applyAlignment="1">
      <alignment horizontal="center" vertical="center"/>
    </xf>
    <xf numFmtId="164" fontId="61" fillId="2" borderId="146" xfId="345" applyNumberFormat="1" applyFont="1" applyFill="1" applyBorder="1" applyAlignment="1">
      <alignment horizontal="center" vertical="center"/>
    </xf>
    <xf numFmtId="164" fontId="61" fillId="2" borderId="145" xfId="345" applyNumberFormat="1" applyFont="1" applyFill="1" applyBorder="1" applyAlignment="1">
      <alignment horizontal="center" vertical="center"/>
    </xf>
    <xf numFmtId="164" fontId="61" fillId="2" borderId="152" xfId="345" applyNumberFormat="1" applyFont="1" applyFill="1" applyBorder="1" applyAlignment="1">
      <alignment horizontal="center" vertical="center"/>
    </xf>
    <xf numFmtId="164" fontId="61" fillId="2" borderId="22" xfId="347" applyNumberFormat="1" applyFont="1" applyFill="1" applyBorder="1" applyAlignment="1">
      <alignment horizontal="center" vertical="center"/>
    </xf>
    <xf numFmtId="164" fontId="61" fillId="2" borderId="158" xfId="347" applyNumberFormat="1" applyFont="1" applyFill="1" applyBorder="1" applyAlignment="1">
      <alignment horizontal="center" vertical="center"/>
    </xf>
    <xf numFmtId="164" fontId="61" fillId="2" borderId="148" xfId="347" applyNumberFormat="1" applyFont="1" applyFill="1" applyBorder="1" applyAlignment="1">
      <alignment horizontal="center" vertical="center"/>
    </xf>
    <xf numFmtId="164" fontId="61" fillId="2" borderId="147" xfId="347" applyNumberFormat="1" applyFont="1" applyFill="1" applyBorder="1" applyAlignment="1">
      <alignment horizontal="center" vertical="center"/>
    </xf>
    <xf numFmtId="164" fontId="61" fillId="2" borderId="153" xfId="347" applyNumberFormat="1" applyFont="1" applyFill="1" applyBorder="1" applyAlignment="1">
      <alignment horizontal="center" vertical="center"/>
    </xf>
    <xf numFmtId="0" fontId="61" fillId="2" borderId="22" xfId="343" applyFont="1" applyFill="1" applyBorder="1" applyAlignment="1">
      <alignment horizontal="left" vertical="center" wrapText="1"/>
    </xf>
    <xf numFmtId="165" fontId="70" fillId="0" borderId="51" xfId="0" applyNumberFormat="1" applyFont="1" applyBorder="1" applyAlignment="1"/>
    <xf numFmtId="165" fontId="71" fillId="0" borderId="51" xfId="0" applyNumberFormat="1" applyFont="1" applyBorder="1" applyAlignment="1"/>
    <xf numFmtId="165" fontId="71" fillId="0" borderId="0" xfId="0" applyNumberFormat="1" applyFont="1" applyAlignment="1"/>
    <xf numFmtId="165" fontId="73" fillId="0" borderId="51" xfId="0" applyNumberFormat="1" applyFont="1" applyBorder="1" applyAlignment="1"/>
    <xf numFmtId="165" fontId="70" fillId="0" borderId="88" xfId="0" applyNumberFormat="1" applyFont="1" applyBorder="1" applyAlignment="1"/>
    <xf numFmtId="165" fontId="70" fillId="0" borderId="85" xfId="0" applyNumberFormat="1" applyFont="1" applyBorder="1" applyAlignment="1"/>
    <xf numFmtId="165" fontId="70" fillId="0" borderId="87" xfId="0" applyNumberFormat="1" applyFont="1" applyBorder="1" applyAlignment="1"/>
    <xf numFmtId="165" fontId="69" fillId="0" borderId="31" xfId="0" applyNumberFormat="1" applyFont="1" applyBorder="1" applyAlignment="1">
      <alignment horizontal="right"/>
    </xf>
    <xf numFmtId="165" fontId="69" fillId="0" borderId="31" xfId="0" applyNumberFormat="1" applyFont="1" applyBorder="1" applyAlignment="1">
      <alignment horizontal="right" wrapText="1"/>
    </xf>
    <xf numFmtId="165" fontId="69" fillId="0" borderId="76" xfId="0" applyNumberFormat="1" applyFont="1" applyBorder="1" applyAlignment="1">
      <alignment horizontal="right" wrapText="1"/>
    </xf>
    <xf numFmtId="165" fontId="69" fillId="0" borderId="51" xfId="0" applyNumberFormat="1" applyFont="1" applyBorder="1" applyAlignment="1">
      <alignment horizontal="right" wrapText="1"/>
    </xf>
    <xf numFmtId="165" fontId="69" fillId="0" borderId="17" xfId="0" applyNumberFormat="1" applyFont="1" applyBorder="1" applyAlignment="1">
      <alignment horizontal="right" wrapText="1"/>
    </xf>
    <xf numFmtId="165" fontId="69" fillId="0" borderId="76" xfId="0" applyNumberFormat="1" applyFont="1" applyBorder="1" applyAlignment="1">
      <alignment wrapText="1"/>
    </xf>
    <xf numFmtId="165" fontId="69" fillId="0" borderId="17" xfId="0" applyNumberFormat="1" applyFont="1" applyBorder="1" applyAlignment="1"/>
    <xf numFmtId="165" fontId="69" fillId="0" borderId="0" xfId="0" applyNumberFormat="1" applyFont="1" applyAlignment="1"/>
    <xf numFmtId="165" fontId="23" fillId="0" borderId="31" xfId="0" applyNumberFormat="1" applyFont="1" applyBorder="1" applyAlignment="1">
      <alignment horizontal="right"/>
    </xf>
    <xf numFmtId="165" fontId="20" fillId="0" borderId="0" xfId="0" applyNumberFormat="1" applyFont="1" applyAlignment="1">
      <alignment wrapText="1"/>
    </xf>
    <xf numFmtId="165" fontId="23" fillId="0" borderId="17" xfId="0" applyNumberFormat="1" applyFont="1" applyBorder="1" applyAlignment="1">
      <alignment horizontal="right" wrapText="1"/>
    </xf>
    <xf numFmtId="165" fontId="20" fillId="0" borderId="51" xfId="0" applyNumberFormat="1" applyFont="1" applyBorder="1" applyAlignment="1">
      <alignment wrapText="1"/>
    </xf>
    <xf numFmtId="165" fontId="23" fillId="0" borderId="76" xfId="0" applyNumberFormat="1" applyFont="1" applyBorder="1" applyAlignment="1">
      <alignment horizontal="left" wrapText="1"/>
    </xf>
    <xf numFmtId="165" fontId="20" fillId="0" borderId="17" xfId="0" applyNumberFormat="1" applyFont="1" applyBorder="1"/>
    <xf numFmtId="165" fontId="20" fillId="0" borderId="60" xfId="0" applyNumberFormat="1" applyFont="1" applyBorder="1" applyAlignment="1"/>
    <xf numFmtId="165" fontId="28" fillId="0" borderId="0" xfId="0" applyNumberFormat="1" applyFont="1" applyAlignment="1">
      <alignment horizontal="right"/>
    </xf>
    <xf numFmtId="165" fontId="28" fillId="0" borderId="17" xfId="0" applyNumberFormat="1" applyFont="1" applyBorder="1" applyAlignment="1">
      <alignment horizontal="right"/>
    </xf>
    <xf numFmtId="165" fontId="28" fillId="0" borderId="51" xfId="0" applyNumberFormat="1" applyFont="1" applyBorder="1" applyAlignment="1">
      <alignment horizontal="right"/>
    </xf>
    <xf numFmtId="165" fontId="28" fillId="0" borderId="17" xfId="0" applyNumberFormat="1" applyFont="1" applyBorder="1" applyAlignment="1">
      <alignment horizontal="left"/>
    </xf>
    <xf numFmtId="165" fontId="28" fillId="0" borderId="76" xfId="0" applyNumberFormat="1" applyFont="1" applyBorder="1" applyAlignment="1">
      <alignment horizontal="left"/>
    </xf>
    <xf numFmtId="165" fontId="28" fillId="0" borderId="0" xfId="0" applyNumberFormat="1" applyFont="1" applyAlignment="1"/>
    <xf numFmtId="165" fontId="72" fillId="0" borderId="31" xfId="0" applyNumberFormat="1" applyFont="1" applyBorder="1" applyAlignment="1">
      <alignment horizontal="right"/>
    </xf>
    <xf numFmtId="165" fontId="72" fillId="0" borderId="0" xfId="0" applyNumberFormat="1" applyFont="1" applyAlignment="1">
      <alignment horizontal="right"/>
    </xf>
    <xf numFmtId="165" fontId="72" fillId="0" borderId="17" xfId="0" applyNumberFormat="1" applyFont="1" applyBorder="1" applyAlignment="1">
      <alignment horizontal="right"/>
    </xf>
    <xf numFmtId="165" fontId="72" fillId="0" borderId="51" xfId="0" applyNumberFormat="1" applyFont="1" applyBorder="1" applyAlignment="1">
      <alignment horizontal="right"/>
    </xf>
    <xf numFmtId="165" fontId="72" fillId="0" borderId="0" xfId="0" applyNumberFormat="1" applyFont="1" applyAlignment="1"/>
    <xf numFmtId="165" fontId="72" fillId="0" borderId="17" xfId="0" applyNumberFormat="1" applyFont="1" applyBorder="1" applyAlignment="1">
      <alignment horizontal="left"/>
    </xf>
    <xf numFmtId="165" fontId="72" fillId="0" borderId="82" xfId="0" applyNumberFormat="1" applyFont="1" applyBorder="1" applyAlignment="1">
      <alignment horizontal="left"/>
    </xf>
    <xf numFmtId="165" fontId="20" fillId="0" borderId="51" xfId="0" applyNumberFormat="1" applyFont="1" applyBorder="1"/>
    <xf numFmtId="165" fontId="20" fillId="0" borderId="0" xfId="0" applyNumberFormat="1" applyFont="1" applyAlignment="1"/>
    <xf numFmtId="165" fontId="75" fillId="0" borderId="51" xfId="0" applyNumberFormat="1" applyFont="1" applyBorder="1" applyAlignment="1">
      <alignment horizontal="right"/>
    </xf>
    <xf numFmtId="165" fontId="28" fillId="0" borderId="82" xfId="0" applyNumberFormat="1" applyFont="1" applyBorder="1" applyAlignment="1">
      <alignment horizontal="right"/>
    </xf>
    <xf numFmtId="165" fontId="72" fillId="0" borderId="31" xfId="0" applyNumberFormat="1" applyFont="1" applyBorder="1" applyAlignment="1">
      <alignment horizontal="left"/>
    </xf>
    <xf numFmtId="165" fontId="20" fillId="0" borderId="40" xfId="0" applyNumberFormat="1" applyFont="1" applyBorder="1" applyAlignment="1"/>
    <xf numFmtId="165" fontId="28" fillId="0" borderId="83" xfId="0" applyNumberFormat="1" applyFont="1" applyBorder="1" applyAlignment="1">
      <alignment horizontal="right"/>
    </xf>
    <xf numFmtId="165" fontId="28" fillId="0" borderId="42" xfId="0" applyNumberFormat="1" applyFont="1" applyBorder="1" applyAlignment="1">
      <alignment horizontal="right"/>
    </xf>
    <xf numFmtId="165" fontId="28" fillId="0" borderId="75" xfId="0" applyNumberFormat="1" applyFont="1" applyBorder="1" applyAlignment="1">
      <alignment horizontal="right"/>
    </xf>
    <xf numFmtId="165" fontId="28" fillId="0" borderId="68" xfId="0" applyNumberFormat="1" applyFont="1" applyBorder="1" applyAlignment="1">
      <alignment horizontal="left"/>
    </xf>
    <xf numFmtId="165" fontId="23" fillId="0" borderId="75" xfId="0" applyNumberFormat="1" applyFont="1" applyBorder="1" applyAlignment="1">
      <alignment horizontal="left"/>
    </xf>
    <xf numFmtId="165" fontId="23" fillId="0" borderId="41" xfId="0" applyNumberFormat="1" applyFont="1" applyBorder="1" applyAlignment="1">
      <alignment horizontal="left"/>
    </xf>
    <xf numFmtId="165" fontId="23" fillId="0" borderId="42" xfId="0" applyNumberFormat="1" applyFont="1" applyBorder="1" applyAlignment="1">
      <alignment horizontal="right"/>
    </xf>
    <xf numFmtId="165" fontId="23" fillId="0" borderId="42" xfId="0" applyNumberFormat="1" applyFont="1" applyBorder="1" applyAlignment="1"/>
    <xf numFmtId="165" fontId="23" fillId="0" borderId="31" xfId="0" applyNumberFormat="1" applyFont="1" applyBorder="1" applyAlignment="1">
      <alignment horizontal="left"/>
    </xf>
    <xf numFmtId="165" fontId="23" fillId="0" borderId="0" xfId="0" applyNumberFormat="1" applyFont="1" applyAlignment="1">
      <alignment horizontal="left"/>
    </xf>
    <xf numFmtId="165" fontId="23" fillId="0" borderId="17" xfId="0" applyNumberFormat="1" applyFont="1" applyBorder="1" applyAlignment="1">
      <alignment horizontal="left"/>
    </xf>
    <xf numFmtId="165" fontId="23" fillId="0" borderId="51" xfId="0" applyNumberFormat="1" applyFont="1" applyBorder="1" applyAlignment="1">
      <alignment horizontal="left"/>
    </xf>
    <xf numFmtId="165" fontId="23" fillId="0" borderId="82" xfId="0" applyNumberFormat="1" applyFont="1" applyBorder="1" applyAlignment="1">
      <alignment horizontal="left"/>
    </xf>
    <xf numFmtId="165" fontId="28" fillId="0" borderId="82" xfId="0" applyNumberFormat="1" applyFont="1" applyBorder="1" applyAlignment="1">
      <alignment horizontal="left"/>
    </xf>
    <xf numFmtId="165" fontId="72" fillId="0" borderId="82" xfId="0" applyNumberFormat="1" applyFont="1" applyBorder="1" applyAlignment="1">
      <alignment horizontal="right"/>
    </xf>
    <xf numFmtId="165" fontId="23" fillId="0" borderId="68" xfId="0" applyNumberFormat="1" applyFont="1" applyBorder="1" applyAlignment="1">
      <alignment horizontal="left"/>
    </xf>
    <xf numFmtId="165" fontId="28" fillId="0" borderId="75" xfId="0" applyNumberFormat="1" applyFont="1" applyBorder="1" applyAlignment="1">
      <alignment horizontal="left"/>
    </xf>
    <xf numFmtId="165" fontId="28" fillId="0" borderId="41" xfId="0" applyNumberFormat="1" applyFont="1" applyBorder="1" applyAlignment="1">
      <alignment horizontal="left"/>
    </xf>
    <xf numFmtId="0" fontId="30" fillId="2" borderId="69" xfId="129" applyFont="1" applyFill="1" applyBorder="1" applyAlignment="1">
      <alignment horizontal="left" vertical="center" wrapText="1"/>
    </xf>
    <xf numFmtId="0" fontId="23" fillId="0" borderId="7" xfId="0" applyFont="1" applyBorder="1" applyAlignment="1">
      <alignment horizontal="right"/>
    </xf>
    <xf numFmtId="0" fontId="63" fillId="2" borderId="159" xfId="783" applyFont="1" applyFill="1" applyBorder="1" applyAlignment="1">
      <alignment vertical="top" wrapText="1"/>
    </xf>
    <xf numFmtId="165" fontId="10" fillId="0" borderId="68" xfId="0" applyNumberFormat="1" applyFont="1" applyBorder="1" applyAlignment="1">
      <alignment horizontal="center" vertical="center"/>
    </xf>
    <xf numFmtId="165" fontId="10" fillId="0" borderId="71" xfId="0" applyNumberFormat="1" applyFont="1" applyBorder="1" applyAlignment="1">
      <alignment horizontal="center" vertical="center"/>
    </xf>
    <xf numFmtId="0" fontId="10" fillId="2" borderId="120" xfId="265" applyFont="1" applyFill="1" applyBorder="1" applyAlignment="1">
      <alignment horizontal="center" wrapText="1"/>
    </xf>
    <xf numFmtId="0" fontId="8" fillId="3" borderId="0" xfId="0" applyFont="1" applyFill="1" applyAlignment="1">
      <alignment horizontal="justify" wrapText="1"/>
    </xf>
    <xf numFmtId="0" fontId="9" fillId="2" borderId="2" xfId="13" applyFont="1" applyFill="1" applyBorder="1" applyAlignment="1">
      <alignment horizontal="center" vertical="center" wrapText="1"/>
    </xf>
    <xf numFmtId="0" fontId="10" fillId="2" borderId="2" xfId="25" applyFont="1" applyFill="1" applyBorder="1" applyAlignment="1">
      <alignment horizontal="left" vertical="top" wrapText="1"/>
    </xf>
    <xf numFmtId="0" fontId="9" fillId="2" borderId="13" xfId="26" applyFont="1" applyFill="1" applyBorder="1" applyAlignment="1">
      <alignment horizontal="center" vertical="center" wrapText="1"/>
    </xf>
    <xf numFmtId="0" fontId="12" fillId="2" borderId="13" xfId="26" applyFont="1" applyFill="1" applyBorder="1" applyAlignment="1">
      <alignment horizontal="center" vertical="center" wrapText="1"/>
    </xf>
    <xf numFmtId="0" fontId="10" fillId="2" borderId="13" xfId="33" applyFont="1" applyFill="1" applyBorder="1" applyAlignment="1">
      <alignment horizontal="left" vertical="top" wrapText="1"/>
    </xf>
    <xf numFmtId="0" fontId="13" fillId="2" borderId="13" xfId="33" applyFont="1" applyFill="1" applyBorder="1" applyAlignment="1">
      <alignment horizontal="left" vertical="top" wrapText="1"/>
    </xf>
    <xf numFmtId="0" fontId="10" fillId="2" borderId="23" xfId="53" applyFont="1" applyFill="1" applyBorder="1" applyAlignment="1">
      <alignment horizontal="left" vertical="top" wrapText="1"/>
    </xf>
    <xf numFmtId="0" fontId="15" fillId="2" borderId="23" xfId="53" applyFont="1" applyFill="1" applyBorder="1" applyAlignment="1">
      <alignment horizontal="left" vertical="top" wrapText="1"/>
    </xf>
    <xf numFmtId="0" fontId="14" fillId="2" borderId="23" xfId="41" applyFont="1" applyFill="1" applyBorder="1" applyAlignment="1">
      <alignment horizontal="center" vertical="center" wrapText="1"/>
    </xf>
    <xf numFmtId="0" fontId="9" fillId="2" borderId="26" xfId="54" applyFont="1" applyFill="1" applyBorder="1" applyAlignment="1">
      <alignment horizontal="center" vertical="center" wrapText="1"/>
    </xf>
    <xf numFmtId="0" fontId="16" fillId="2" borderId="26" xfId="54" applyFont="1" applyFill="1" applyBorder="1" applyAlignment="1">
      <alignment horizontal="center" vertical="center" wrapText="1"/>
    </xf>
    <xf numFmtId="0" fontId="10" fillId="2" borderId="173" xfId="61" applyFont="1" applyFill="1" applyBorder="1" applyAlignment="1">
      <alignment horizontal="left" vertical="top" wrapText="1"/>
    </xf>
    <xf numFmtId="0" fontId="9" fillId="2" borderId="32" xfId="72" applyFont="1" applyFill="1" applyBorder="1" applyAlignment="1">
      <alignment horizontal="center" vertical="center" wrapText="1"/>
    </xf>
    <xf numFmtId="0" fontId="10" fillId="2" borderId="32" xfId="79" applyFont="1" applyFill="1" applyBorder="1" applyAlignment="1">
      <alignment horizontal="left" vertical="top" wrapText="1"/>
    </xf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0" fontId="24" fillId="2" borderId="19" xfId="88" applyFont="1" applyFill="1" applyBorder="1" applyAlignment="1">
      <alignment horizontal="center" vertical="center" wrapText="1"/>
    </xf>
    <xf numFmtId="0" fontId="10" fillId="2" borderId="38" xfId="95" applyFont="1" applyFill="1" applyBorder="1" applyAlignment="1">
      <alignment horizontal="left" vertical="top" wrapText="1"/>
    </xf>
    <xf numFmtId="0" fontId="25" fillId="2" borderId="38" xfId="95" applyFont="1" applyFill="1" applyBorder="1" applyAlignment="1">
      <alignment horizontal="left" vertical="top" wrapText="1"/>
    </xf>
    <xf numFmtId="0" fontId="24" fillId="2" borderId="205" xfId="88" applyFont="1" applyFill="1" applyBorder="1" applyAlignment="1">
      <alignment horizontal="center" vertical="center" wrapText="1"/>
    </xf>
    <xf numFmtId="0" fontId="10" fillId="2" borderId="173" xfId="110" applyFont="1" applyFill="1" applyBorder="1" applyAlignment="1">
      <alignment horizontal="left" vertical="top" wrapText="1"/>
    </xf>
    <xf numFmtId="0" fontId="26" fillId="2" borderId="44" xfId="103" applyFont="1" applyFill="1" applyBorder="1" applyAlignment="1">
      <alignment horizontal="center" vertical="center" wrapText="1"/>
    </xf>
    <xf numFmtId="0" fontId="9" fillId="2" borderId="44" xfId="103" applyFont="1" applyFill="1" applyBorder="1" applyAlignment="1">
      <alignment horizontal="center" vertical="center" wrapText="1"/>
    </xf>
    <xf numFmtId="0" fontId="27" fillId="2" borderId="44" xfId="110" applyFont="1" applyFill="1" applyBorder="1" applyAlignment="1">
      <alignment horizontal="left" vertical="top" wrapText="1"/>
    </xf>
    <xf numFmtId="0" fontId="10" fillId="2" borderId="44" xfId="110" applyFont="1" applyFill="1" applyBorder="1" applyAlignment="1">
      <alignment horizontal="left" vertical="top" wrapText="1"/>
    </xf>
    <xf numFmtId="0" fontId="10" fillId="2" borderId="173" xfId="110" applyFont="1" applyFill="1" applyBorder="1" applyAlignment="1">
      <alignment vertical="top" wrapText="1"/>
    </xf>
    <xf numFmtId="0" fontId="30" fillId="2" borderId="63" xfId="128" applyFont="1" applyFill="1" applyBorder="1" applyAlignment="1">
      <alignment horizontal="left" vertical="top" wrapText="1"/>
    </xf>
    <xf numFmtId="0" fontId="29" fillId="2" borderId="63" xfId="121" applyFont="1" applyFill="1" applyBorder="1" applyAlignment="1">
      <alignment horizontal="center" vertical="center" wrapText="1"/>
    </xf>
    <xf numFmtId="0" fontId="30" fillId="2" borderId="72" xfId="128" applyFont="1" applyFill="1" applyBorder="1" applyAlignment="1">
      <alignment horizontal="left" vertical="top" wrapText="1"/>
    </xf>
    <xf numFmtId="0" fontId="9" fillId="2" borderId="173" xfId="121" applyFont="1" applyFill="1" applyBorder="1" applyAlignment="1">
      <alignment horizontal="center" vertical="center" wrapText="1"/>
    </xf>
    <xf numFmtId="0" fontId="29" fillId="2" borderId="173" xfId="121" applyFont="1" applyFill="1" applyBorder="1" applyAlignment="1">
      <alignment horizontal="center" vertical="center" wrapText="1"/>
    </xf>
    <xf numFmtId="0" fontId="31" fillId="2" borderId="76" xfId="149" applyFont="1" applyFill="1" applyBorder="1" applyAlignment="1">
      <alignment horizontal="center" vertical="center" wrapText="1"/>
    </xf>
    <xf numFmtId="0" fontId="10" fillId="2" borderId="173" xfId="159" applyFont="1" applyFill="1" applyBorder="1" applyAlignment="1">
      <alignment horizontal="left" vertical="top" wrapText="1"/>
    </xf>
    <xf numFmtId="0" fontId="21" fillId="0" borderId="19" xfId="0" applyFont="1" applyBorder="1" applyAlignment="1">
      <alignment horizontal="center" wrapText="1"/>
    </xf>
    <xf numFmtId="0" fontId="21" fillId="0" borderId="19" xfId="0" applyFont="1" applyBorder="1" applyAlignment="1">
      <alignment horizontal="center"/>
    </xf>
    <xf numFmtId="3" fontId="21" fillId="0" borderId="0" xfId="0" applyNumberFormat="1" applyFont="1" applyAlignment="1">
      <alignment horizontal="center" wrapText="1"/>
    </xf>
    <xf numFmtId="0" fontId="9" fillId="2" borderId="93" xfId="176" applyFont="1" applyFill="1" applyBorder="1" applyAlignment="1">
      <alignment horizontal="center" vertical="center" wrapText="1"/>
    </xf>
    <xf numFmtId="0" fontId="35" fillId="2" borderId="93" xfId="176" applyFont="1" applyFill="1" applyBorder="1" applyAlignment="1">
      <alignment horizontal="center" vertical="center" wrapText="1"/>
    </xf>
    <xf numFmtId="0" fontId="36" fillId="2" borderId="96" xfId="181" applyFont="1" applyFill="1" applyBorder="1" applyAlignment="1">
      <alignment horizontal="left" vertical="top" wrapText="1"/>
    </xf>
    <xf numFmtId="0" fontId="36" fillId="2" borderId="93" xfId="182" applyFont="1" applyFill="1" applyBorder="1" applyAlignment="1">
      <alignment horizontal="left" vertical="top" wrapText="1"/>
    </xf>
    <xf numFmtId="0" fontId="36" fillId="2" borderId="99" xfId="182" applyFont="1" applyFill="1" applyBorder="1" applyAlignment="1">
      <alignment horizontal="left" vertical="top" wrapText="1"/>
    </xf>
    <xf numFmtId="0" fontId="36" fillId="2" borderId="61" xfId="182" applyFont="1" applyFill="1" applyBorder="1" applyAlignment="1">
      <alignment horizontal="left" vertical="top" wrapText="1"/>
    </xf>
    <xf numFmtId="0" fontId="11" fillId="2" borderId="98" xfId="182" applyFont="1" applyFill="1" applyBorder="1" applyAlignment="1">
      <alignment horizontal="left" vertical="top" wrapText="1"/>
    </xf>
    <xf numFmtId="0" fontId="11" fillId="2" borderId="93" xfId="182" applyFont="1" applyFill="1" applyBorder="1" applyAlignment="1">
      <alignment horizontal="left" vertical="top" wrapText="1"/>
    </xf>
    <xf numFmtId="0" fontId="11" fillId="2" borderId="102" xfId="181" applyFont="1" applyFill="1" applyBorder="1" applyAlignment="1">
      <alignment horizontal="left" vertical="top" wrapText="1"/>
    </xf>
    <xf numFmtId="0" fontId="11" fillId="2" borderId="97" xfId="182" applyFont="1" applyFill="1" applyBorder="1" applyAlignment="1">
      <alignment horizontal="left" vertical="top" wrapText="1"/>
    </xf>
    <xf numFmtId="0" fontId="39" fillId="2" borderId="93" xfId="190" applyFont="1" applyBorder="1" applyAlignment="1">
      <alignment horizontal="left" vertical="top" wrapText="1"/>
    </xf>
    <xf numFmtId="0" fontId="36" fillId="2" borderId="94" xfId="177" applyFont="1" applyFill="1" applyBorder="1" applyAlignment="1">
      <alignment horizontal="left" wrapText="1"/>
    </xf>
    <xf numFmtId="0" fontId="39" fillId="2" borderId="100" xfId="190" applyFont="1" applyBorder="1" applyAlignment="1">
      <alignment horizontal="left" wrapText="1"/>
    </xf>
    <xf numFmtId="0" fontId="38" fillId="2" borderId="93" xfId="190" applyFont="1" applyBorder="1" applyAlignment="1">
      <alignment horizontal="center" vertical="center" wrapText="1"/>
    </xf>
    <xf numFmtId="0" fontId="10" fillId="2" borderId="93" xfId="182" applyFont="1" applyFill="1" applyBorder="1" applyAlignment="1">
      <alignment horizontal="left" vertical="top" wrapText="1"/>
    </xf>
    <xf numFmtId="0" fontId="41" fillId="2" borderId="103" xfId="197" applyFont="1" applyFill="1" applyBorder="1" applyAlignment="1">
      <alignment horizontal="left" vertical="top" wrapText="1"/>
    </xf>
    <xf numFmtId="0" fontId="41" fillId="2" borderId="104" xfId="192" applyFont="1" applyFill="1" applyBorder="1" applyAlignment="1">
      <alignment horizontal="left" wrapText="1"/>
    </xf>
    <xf numFmtId="0" fontId="40" fillId="2" borderId="103" xfId="191" applyFont="1" applyFill="1" applyBorder="1" applyAlignment="1">
      <alignment horizontal="center" vertical="center" wrapText="1"/>
    </xf>
    <xf numFmtId="0" fontId="42" fillId="2" borderId="106" xfId="206" applyFont="1" applyFill="1" applyBorder="1" applyAlignment="1">
      <alignment horizontal="center" vertical="center" wrapText="1"/>
    </xf>
    <xf numFmtId="0" fontId="10" fillId="2" borderId="106" xfId="212" applyFont="1" applyFill="1" applyBorder="1" applyAlignment="1">
      <alignment horizontal="left" vertical="top" wrapText="1"/>
    </xf>
    <xf numFmtId="0" fontId="43" fillId="2" borderId="106" xfId="212" applyFont="1" applyFill="1" applyBorder="1" applyAlignment="1">
      <alignment horizontal="left" vertical="top" wrapText="1"/>
    </xf>
    <xf numFmtId="0" fontId="43" fillId="2" borderId="108" xfId="207" applyFont="1" applyFill="1" applyBorder="1" applyAlignment="1">
      <alignment horizontal="left" wrapText="1"/>
    </xf>
    <xf numFmtId="0" fontId="9" fillId="2" borderId="106" xfId="206" applyFont="1" applyFill="1" applyBorder="1" applyAlignment="1">
      <alignment horizontal="center" vertical="center" wrapText="1"/>
    </xf>
    <xf numFmtId="0" fontId="45" fillId="2" borderId="109" xfId="226" applyFont="1" applyFill="1" applyBorder="1" applyAlignment="1">
      <alignment horizontal="left" vertical="top" wrapText="1"/>
    </xf>
    <xf numFmtId="0" fontId="45" fillId="2" borderId="110" xfId="221" applyFont="1" applyFill="1" applyBorder="1" applyAlignment="1">
      <alignment horizontal="left" wrapText="1"/>
    </xf>
    <xf numFmtId="0" fontId="9" fillId="2" borderId="109" xfId="220" applyFont="1" applyFill="1" applyBorder="1" applyAlignment="1">
      <alignment horizontal="center" vertical="center" wrapText="1"/>
    </xf>
    <xf numFmtId="0" fontId="44" fillId="2" borderId="109" xfId="220" applyFont="1" applyFill="1" applyBorder="1" applyAlignment="1">
      <alignment horizontal="center" vertical="center" wrapText="1"/>
    </xf>
    <xf numFmtId="0" fontId="10" fillId="2" borderId="112" xfId="240" applyFont="1" applyFill="1" applyBorder="1" applyAlignment="1">
      <alignment horizontal="left" vertical="top" wrapText="1"/>
    </xf>
    <xf numFmtId="0" fontId="47" fillId="2" borderId="112" xfId="240" applyFont="1" applyFill="1" applyBorder="1" applyAlignment="1">
      <alignment horizontal="left" vertical="top" wrapText="1"/>
    </xf>
    <xf numFmtId="0" fontId="47" fillId="2" borderId="113" xfId="235" applyFont="1" applyFill="1" applyBorder="1" applyAlignment="1">
      <alignment horizontal="left" wrapText="1"/>
    </xf>
    <xf numFmtId="0" fontId="46" fillId="2" borderId="112" xfId="234" applyFont="1" applyFill="1" applyBorder="1" applyAlignment="1">
      <alignment horizontal="center" vertical="center" wrapText="1"/>
    </xf>
    <xf numFmtId="0" fontId="49" fillId="2" borderId="115" xfId="254" applyFont="1" applyFill="1" applyBorder="1" applyAlignment="1">
      <alignment horizontal="left" vertical="top" wrapText="1"/>
    </xf>
    <xf numFmtId="0" fontId="9" fillId="2" borderId="115" xfId="248" applyFont="1" applyFill="1" applyBorder="1" applyAlignment="1">
      <alignment horizontal="center" vertical="center" wrapText="1"/>
    </xf>
    <xf numFmtId="0" fontId="48" fillId="2" borderId="115" xfId="248" applyFont="1" applyFill="1" applyBorder="1" applyAlignment="1">
      <alignment horizontal="center" vertical="center" wrapText="1"/>
    </xf>
    <xf numFmtId="0" fontId="49" fillId="2" borderId="116" xfId="249" applyFont="1" applyFill="1" applyBorder="1" applyAlignment="1">
      <alignment horizontal="left" wrapText="1"/>
    </xf>
    <xf numFmtId="0" fontId="50" fillId="2" borderId="118" xfId="262" applyFont="1" applyFill="1" applyBorder="1" applyAlignment="1">
      <alignment horizontal="center" vertical="center" wrapText="1"/>
    </xf>
    <xf numFmtId="0" fontId="10" fillId="2" borderId="118" xfId="268" applyFont="1" applyFill="1" applyBorder="1" applyAlignment="1">
      <alignment horizontal="left" vertical="top" wrapText="1"/>
    </xf>
    <xf numFmtId="0" fontId="51" fillId="2" borderId="118" xfId="268" applyFont="1" applyFill="1" applyBorder="1" applyAlignment="1">
      <alignment horizontal="left" vertical="top" wrapText="1"/>
    </xf>
    <xf numFmtId="0" fontId="51" fillId="2" borderId="119" xfId="263" applyFont="1" applyFill="1" applyBorder="1" applyAlignment="1">
      <alignment horizontal="left" wrapText="1"/>
    </xf>
    <xf numFmtId="0" fontId="53" fillId="2" borderId="121" xfId="282" applyFont="1" applyFill="1" applyBorder="1" applyAlignment="1">
      <alignment horizontal="left" vertical="top" wrapText="1"/>
    </xf>
    <xf numFmtId="0" fontId="53" fillId="2" borderId="122" xfId="277" applyFont="1" applyFill="1" applyBorder="1" applyAlignment="1">
      <alignment horizontal="left" wrapText="1"/>
    </xf>
    <xf numFmtId="0" fontId="52" fillId="2" borderId="121" xfId="276" applyFont="1" applyFill="1" applyBorder="1" applyAlignment="1">
      <alignment horizontal="center" vertical="center" wrapText="1"/>
    </xf>
    <xf numFmtId="0" fontId="9" fillId="2" borderId="121" xfId="276" applyFont="1" applyFill="1" applyBorder="1" applyAlignment="1">
      <alignment horizontal="center" vertical="center" wrapText="1"/>
    </xf>
    <xf numFmtId="0" fontId="55" fillId="2" borderId="124" xfId="296" applyFont="1" applyFill="1" applyBorder="1" applyAlignment="1">
      <alignment horizontal="left" vertical="top" wrapText="1"/>
    </xf>
    <xf numFmtId="0" fontId="55" fillId="2" borderId="125" xfId="291" applyFont="1" applyFill="1" applyBorder="1" applyAlignment="1">
      <alignment horizontal="left" wrapText="1"/>
    </xf>
    <xf numFmtId="0" fontId="54" fillId="2" borderId="124" xfId="290" applyFont="1" applyFill="1" applyBorder="1" applyAlignment="1">
      <alignment horizontal="center" vertical="center" wrapText="1"/>
    </xf>
    <xf numFmtId="0" fontId="10" fillId="2" borderId="96" xfId="181" applyFont="1" applyFill="1" applyBorder="1" applyAlignment="1">
      <alignment horizontal="left" vertical="top" wrapText="1"/>
    </xf>
    <xf numFmtId="0" fontId="9" fillId="2" borderId="127" xfId="305" applyFont="1" applyFill="1" applyBorder="1" applyAlignment="1">
      <alignment horizontal="center" vertical="center" wrapText="1"/>
    </xf>
    <xf numFmtId="0" fontId="56" fillId="2" borderId="127" xfId="305" applyFont="1" applyFill="1" applyBorder="1" applyAlignment="1">
      <alignment horizontal="center" vertical="center" wrapText="1"/>
    </xf>
    <xf numFmtId="0" fontId="57" fillId="2" borderId="127" xfId="311" applyFont="1" applyFill="1" applyBorder="1" applyAlignment="1">
      <alignment horizontal="left" vertical="top" wrapText="1"/>
    </xf>
    <xf numFmtId="0" fontId="57" fillId="2" borderId="128" xfId="306" applyFont="1" applyFill="1" applyBorder="1" applyAlignment="1">
      <alignment horizontal="left" wrapText="1"/>
    </xf>
    <xf numFmtId="0" fontId="59" fillId="2" borderId="130" xfId="325" applyFont="1" applyFill="1" applyBorder="1" applyAlignment="1">
      <alignment horizontal="left" vertical="top" wrapText="1"/>
    </xf>
    <xf numFmtId="0" fontId="59" fillId="2" borderId="131" xfId="320" applyFont="1" applyFill="1" applyBorder="1" applyAlignment="1">
      <alignment horizontal="left" wrapText="1"/>
    </xf>
    <xf numFmtId="0" fontId="58" fillId="2" borderId="130" xfId="319" applyFont="1" applyFill="1" applyBorder="1" applyAlignment="1">
      <alignment horizontal="center" vertical="center" wrapText="1"/>
    </xf>
    <xf numFmtId="0" fontId="9" fillId="2" borderId="130" xfId="319" applyFont="1" applyFill="1" applyBorder="1" applyAlignment="1">
      <alignment horizontal="center" vertical="center" wrapText="1"/>
    </xf>
    <xf numFmtId="0" fontId="9" fillId="2" borderId="133" xfId="333" applyFont="1" applyFill="1" applyBorder="1" applyAlignment="1">
      <alignment horizontal="center" vertical="center" wrapText="1"/>
    </xf>
    <xf numFmtId="0" fontId="60" fillId="2" borderId="133" xfId="333" applyFont="1" applyFill="1" applyBorder="1" applyAlignment="1">
      <alignment horizontal="center" vertical="center" wrapText="1"/>
    </xf>
    <xf numFmtId="0" fontId="61" fillId="2" borderId="136" xfId="337" applyFont="1" applyFill="1" applyBorder="1" applyAlignment="1">
      <alignment horizontal="center" wrapText="1"/>
    </xf>
    <xf numFmtId="0" fontId="61" fillId="2" borderId="154" xfId="337" applyFont="1" applyFill="1" applyBorder="1" applyAlignment="1">
      <alignment horizontal="center" wrapText="1"/>
    </xf>
    <xf numFmtId="0" fontId="61" fillId="2" borderId="140" xfId="337" applyFont="1" applyFill="1" applyBorder="1" applyAlignment="1">
      <alignment horizontal="center" wrapText="1"/>
    </xf>
    <xf numFmtId="0" fontId="61" fillId="2" borderId="139" xfId="337" applyFont="1" applyFill="1" applyBorder="1" applyAlignment="1">
      <alignment horizontal="center" wrapText="1"/>
    </xf>
    <xf numFmtId="0" fontId="61" fillId="2" borderId="149" xfId="337" applyFont="1" applyFill="1" applyBorder="1" applyAlignment="1">
      <alignment horizontal="center" wrapText="1"/>
    </xf>
    <xf numFmtId="0" fontId="61" fillId="2" borderId="134" xfId="334" applyFont="1" applyFill="1" applyBorder="1" applyAlignment="1">
      <alignment horizontal="left" wrapText="1"/>
    </xf>
    <xf numFmtId="0" fontId="61" fillId="2" borderId="135" xfId="334" applyFont="1" applyFill="1" applyBorder="1" applyAlignment="1">
      <alignment horizontal="left" wrapText="1"/>
    </xf>
    <xf numFmtId="0" fontId="61" fillId="2" borderId="133" xfId="342" applyFont="1" applyFill="1" applyBorder="1" applyAlignment="1">
      <alignment horizontal="left" vertical="top" wrapText="1"/>
    </xf>
    <xf numFmtId="0" fontId="62" fillId="2" borderId="159" xfId="760" applyFont="1" applyFill="1" applyBorder="1" applyAlignment="1">
      <alignment horizontal="center" vertical="center" wrapText="1"/>
    </xf>
    <xf numFmtId="0" fontId="63" fillId="2" borderId="159" xfId="766" applyFont="1" applyFill="1" applyBorder="1" applyAlignment="1">
      <alignment horizontal="left" vertical="top" wrapText="1"/>
    </xf>
    <xf numFmtId="0" fontId="63" fillId="2" borderId="108" xfId="761" applyFont="1" applyFill="1" applyBorder="1" applyAlignment="1">
      <alignment horizontal="left" wrapText="1"/>
    </xf>
    <xf numFmtId="0" fontId="63" fillId="2" borderId="160" xfId="761" applyFont="1" applyFill="1" applyBorder="1" applyAlignment="1">
      <alignment horizontal="left" wrapText="1"/>
    </xf>
    <xf numFmtId="0" fontId="62" fillId="2" borderId="159" xfId="774" applyFont="1" applyFill="1" applyBorder="1" applyAlignment="1">
      <alignment horizontal="center" vertical="center" wrapText="1"/>
    </xf>
    <xf numFmtId="0" fontId="63" fillId="2" borderId="160" xfId="775" applyFont="1" applyFill="1" applyBorder="1" applyAlignment="1">
      <alignment horizontal="left" wrapText="1"/>
    </xf>
    <xf numFmtId="0" fontId="63" fillId="2" borderId="159" xfId="776" applyFont="1" applyFill="1" applyBorder="1" applyAlignment="1">
      <alignment horizontal="left" wrapText="1"/>
    </xf>
    <xf numFmtId="0" fontId="11" fillId="2" borderId="139" xfId="337" applyFont="1" applyFill="1" applyBorder="1" applyAlignment="1">
      <alignment horizontal="center" wrapText="1"/>
    </xf>
    <xf numFmtId="0" fontId="11" fillId="2" borderId="136" xfId="337" applyFont="1" applyFill="1" applyBorder="1" applyAlignment="1">
      <alignment horizontal="center" wrapText="1"/>
    </xf>
    <xf numFmtId="0" fontId="11" fillId="2" borderId="149" xfId="337" applyFont="1" applyFill="1" applyBorder="1" applyAlignment="1">
      <alignment horizontal="center" wrapText="1"/>
    </xf>
    <xf numFmtId="0" fontId="63" fillId="2" borderId="159" xfId="783" applyFont="1" applyFill="1" applyBorder="1" applyAlignment="1">
      <alignment horizontal="left" vertical="top" wrapText="1"/>
    </xf>
    <xf numFmtId="0" fontId="9" fillId="2" borderId="159" xfId="774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3" fillId="2" borderId="72" xfId="783" applyFont="1" applyFill="1" applyBorder="1" applyAlignment="1">
      <alignment horizontal="left" vertical="top" wrapText="1"/>
    </xf>
    <xf numFmtId="0" fontId="34" fillId="2" borderId="169" xfId="788" applyFont="1" applyBorder="1" applyAlignment="1">
      <alignment horizontal="right" wrapText="1"/>
    </xf>
    <xf numFmtId="0" fontId="34" fillId="2" borderId="170" xfId="788" applyFont="1" applyBorder="1" applyAlignment="1">
      <alignment horizontal="right" wrapText="1"/>
    </xf>
    <xf numFmtId="0" fontId="21" fillId="0" borderId="165" xfId="0" applyFont="1" applyBorder="1" applyAlignment="1">
      <alignment horizontal="center" wrapText="1"/>
    </xf>
    <xf numFmtId="0" fontId="65" fillId="2" borderId="72" xfId="788" applyFont="1" applyBorder="1" applyAlignment="1">
      <alignment horizontal="left" wrapText="1"/>
    </xf>
    <xf numFmtId="0" fontId="65" fillId="2" borderId="159" xfId="788" applyFont="1" applyBorder="1" applyAlignment="1">
      <alignment horizontal="left" wrapText="1"/>
    </xf>
    <xf numFmtId="0" fontId="65" fillId="2" borderId="61" xfId="788" applyFont="1" applyBorder="1" applyAlignment="1">
      <alignment horizontal="left" wrapText="1"/>
    </xf>
    <xf numFmtId="0" fontId="34" fillId="2" borderId="166" xfId="788" applyFont="1" applyBorder="1" applyAlignment="1">
      <alignment horizontal="right" wrapText="1"/>
    </xf>
    <xf numFmtId="0" fontId="34" fillId="2" borderId="167" xfId="788" applyFont="1" applyBorder="1" applyAlignment="1">
      <alignment horizontal="right" wrapText="1"/>
    </xf>
    <xf numFmtId="0" fontId="34" fillId="2" borderId="159" xfId="788" applyFont="1" applyBorder="1" applyAlignment="1">
      <alignment horizontal="right" wrapText="1"/>
    </xf>
    <xf numFmtId="0" fontId="34" fillId="2" borderId="61" xfId="788" applyFont="1" applyBorder="1" applyAlignment="1">
      <alignment horizontal="right" wrapText="1"/>
    </xf>
    <xf numFmtId="0" fontId="65" fillId="2" borderId="164" xfId="788" applyFont="1" applyBorder="1" applyAlignment="1">
      <alignment horizontal="center" wrapText="1"/>
    </xf>
    <xf numFmtId="0" fontId="10" fillId="2" borderId="173" xfId="798" applyFont="1" applyFill="1" applyBorder="1" applyAlignment="1">
      <alignment horizontal="left" vertical="top" wrapText="1"/>
    </xf>
    <xf numFmtId="0" fontId="67" fillId="2" borderId="173" xfId="798" applyFont="1" applyFill="1" applyBorder="1" applyAlignment="1">
      <alignment horizontal="left" vertical="top" wrapText="1"/>
    </xf>
    <xf numFmtId="0" fontId="9" fillId="2" borderId="178" xfId="789" applyFont="1" applyFill="1" applyBorder="1" applyAlignment="1">
      <alignment horizontal="center" vertical="center" wrapText="1"/>
    </xf>
    <xf numFmtId="0" fontId="66" fillId="2" borderId="178" xfId="789" applyFont="1" applyFill="1" applyBorder="1" applyAlignment="1">
      <alignment horizontal="center" vertical="center" wrapText="1"/>
    </xf>
    <xf numFmtId="0" fontId="67" fillId="2" borderId="175" xfId="795" applyFont="1" applyFill="1" applyBorder="1" applyAlignment="1">
      <alignment horizontal="center"/>
    </xf>
    <xf numFmtId="0" fontId="67" fillId="2" borderId="175" xfId="794" applyFont="1" applyFill="1" applyBorder="1" applyAlignment="1">
      <alignment horizontal="center" wrapText="1"/>
    </xf>
    <xf numFmtId="167" fontId="67" fillId="2" borderId="141" xfId="795" applyNumberFormat="1" applyFont="1" applyFill="1" applyBorder="1" applyAlignment="1">
      <alignment horizontal="center"/>
    </xf>
    <xf numFmtId="167" fontId="67" fillId="2" borderId="175" xfId="794" applyNumberFormat="1" applyFont="1" applyFill="1" applyBorder="1" applyAlignment="1">
      <alignment horizontal="center" wrapText="1"/>
    </xf>
    <xf numFmtId="0" fontId="9" fillId="0" borderId="184" xfId="0" applyFont="1" applyFill="1" applyBorder="1" applyAlignment="1">
      <alignment horizontal="center" vertical="center" wrapText="1"/>
    </xf>
    <xf numFmtId="0" fontId="9" fillId="0" borderId="185" xfId="0" applyFont="1" applyFill="1" applyBorder="1" applyAlignment="1">
      <alignment horizontal="center" vertical="center" wrapText="1"/>
    </xf>
    <xf numFmtId="0" fontId="9" fillId="0" borderId="186" xfId="0" applyFont="1" applyFill="1" applyBorder="1" applyAlignment="1">
      <alignment horizontal="center" vertical="center" wrapText="1"/>
    </xf>
    <xf numFmtId="0" fontId="9" fillId="0" borderId="187" xfId="0" applyFont="1" applyFill="1" applyBorder="1" applyAlignment="1">
      <alignment horizontal="center" vertical="center" wrapText="1"/>
    </xf>
    <xf numFmtId="0" fontId="9" fillId="4" borderId="183" xfId="0" applyFont="1" applyFill="1" applyBorder="1" applyAlignment="1">
      <alignment horizontal="center" vertical="center" wrapText="1"/>
    </xf>
  </cellXfs>
  <cellStyles count="803">
    <cellStyle name="Hipervínculo" xfId="12" builtinId="8"/>
    <cellStyle name="Normal" xfId="0" builtinId="0"/>
    <cellStyle name="Normal 2" xfId="355"/>
    <cellStyle name="Normal_Decilas1" xfId="788"/>
    <cellStyle name="Normal_T14" xfId="190"/>
    <cellStyle name="style1482778496500" xfId="356"/>
    <cellStyle name="style1482778496672" xfId="357"/>
    <cellStyle name="style1482778496812" xfId="358"/>
    <cellStyle name="style1482778496952" xfId="359"/>
    <cellStyle name="style1482778497093" xfId="360"/>
    <cellStyle name="style1482778497233" xfId="361"/>
    <cellStyle name="style1482778497358" xfId="362"/>
    <cellStyle name="style1482778497452" xfId="363"/>
    <cellStyle name="style1482778497545" xfId="364"/>
    <cellStyle name="style1482778497639" xfId="365"/>
    <cellStyle name="style1482778497748" xfId="366"/>
    <cellStyle name="style1482778497842" xfId="367"/>
    <cellStyle name="style1482778497951" xfId="368"/>
    <cellStyle name="style1482778498044" xfId="369"/>
    <cellStyle name="style1482778498138" xfId="370"/>
    <cellStyle name="style1482778501898" xfId="371"/>
    <cellStyle name="style1482778501976" xfId="372"/>
    <cellStyle name="style1482778502054" xfId="373"/>
    <cellStyle name="style1482778502132" xfId="374"/>
    <cellStyle name="style1482778502210" xfId="375"/>
    <cellStyle name="style1482778502272" xfId="376"/>
    <cellStyle name="style1482778502350" xfId="377"/>
    <cellStyle name="style1482778502412" xfId="378"/>
    <cellStyle name="style1482778502475" xfId="379"/>
    <cellStyle name="style1482778502553" xfId="380"/>
    <cellStyle name="style1482778502631" xfId="381"/>
    <cellStyle name="style1482778502693" xfId="382"/>
    <cellStyle name="style1482778502756" xfId="383"/>
    <cellStyle name="style1482778502834" xfId="384"/>
    <cellStyle name="style1482778502912" xfId="385"/>
    <cellStyle name="style1482778509042" xfId="386"/>
    <cellStyle name="style1482778509120" xfId="387"/>
    <cellStyle name="style1482778509198" xfId="388"/>
    <cellStyle name="style1482778509308" xfId="389"/>
    <cellStyle name="style1482778509401" xfId="390"/>
    <cellStyle name="style1482778509479" xfId="391"/>
    <cellStyle name="style1482778509542" xfId="392"/>
    <cellStyle name="style1482778509620" xfId="393"/>
    <cellStyle name="style1482778509682" xfId="394"/>
    <cellStyle name="style1482778509760" xfId="395"/>
    <cellStyle name="style1482778509838" xfId="396"/>
    <cellStyle name="style1482778509900" xfId="397"/>
    <cellStyle name="style1482778509978" xfId="398"/>
    <cellStyle name="style1482778510088" xfId="399"/>
    <cellStyle name="style1482778510150" xfId="400"/>
    <cellStyle name="style1482778513691" xfId="401"/>
    <cellStyle name="style1482778513769" xfId="402"/>
    <cellStyle name="style1482778513847" xfId="403"/>
    <cellStyle name="style1482778513925" xfId="404"/>
    <cellStyle name="style1482778513988" xfId="405"/>
    <cellStyle name="style1482778514066" xfId="406"/>
    <cellStyle name="style1482778514144" xfId="407"/>
    <cellStyle name="style1482778514206" xfId="408"/>
    <cellStyle name="style1482778514268" xfId="409"/>
    <cellStyle name="style1482778514346" xfId="410"/>
    <cellStyle name="style1482778514424" xfId="411"/>
    <cellStyle name="style1482778514487" xfId="412"/>
    <cellStyle name="style1482778514549" xfId="413"/>
    <cellStyle name="style1482778514627" xfId="414"/>
    <cellStyle name="style1482778514690" xfId="415"/>
    <cellStyle name="style1482778518371" xfId="416"/>
    <cellStyle name="style1482778518465" xfId="417"/>
    <cellStyle name="style1482778518527" xfId="418"/>
    <cellStyle name="style1482778518605" xfId="419"/>
    <cellStyle name="style1482778518668" xfId="420"/>
    <cellStyle name="style1482778518746" xfId="421"/>
    <cellStyle name="style1482778518824" xfId="422"/>
    <cellStyle name="style1482778518886" xfId="423"/>
    <cellStyle name="style1482778518964" xfId="424"/>
    <cellStyle name="style1482778519026" xfId="425"/>
    <cellStyle name="style1482778519104" xfId="426"/>
    <cellStyle name="style1482778519167" xfId="427"/>
    <cellStyle name="style1482778519245" xfId="428"/>
    <cellStyle name="style1482778519307" xfId="429"/>
    <cellStyle name="style1482778519370" xfId="430"/>
    <cellStyle name="style1482778525578" xfId="431"/>
    <cellStyle name="style1482778525656" xfId="432"/>
    <cellStyle name="style1482778525734" xfId="433"/>
    <cellStyle name="style1482778525797" xfId="434"/>
    <cellStyle name="style1482778525875" xfId="435"/>
    <cellStyle name="style1482778525953" xfId="436"/>
    <cellStyle name="style1482778526031" xfId="437"/>
    <cellStyle name="style1482778526093" xfId="438"/>
    <cellStyle name="style1482778526171" xfId="439"/>
    <cellStyle name="style1482778526234" xfId="440"/>
    <cellStyle name="style1482778526327" xfId="441"/>
    <cellStyle name="style1482778526390" xfId="442"/>
    <cellStyle name="style1482778526452" xfId="443"/>
    <cellStyle name="style1482778526514" xfId="444"/>
    <cellStyle name="style1482778526577" xfId="445"/>
    <cellStyle name="style1482778530149" xfId="446"/>
    <cellStyle name="style1482778530227" xfId="447"/>
    <cellStyle name="style1482778530305" xfId="448"/>
    <cellStyle name="style1482778530383" xfId="449"/>
    <cellStyle name="style1482778530446" xfId="450"/>
    <cellStyle name="style1482778530524" xfId="451"/>
    <cellStyle name="style1482778530602" xfId="452"/>
    <cellStyle name="style1482778530664" xfId="453"/>
    <cellStyle name="style1482778530726" xfId="454"/>
    <cellStyle name="style1482778530804" xfId="455"/>
    <cellStyle name="style1482778530882" xfId="456"/>
    <cellStyle name="style1482778530960" xfId="457"/>
    <cellStyle name="style1482778531023" xfId="458"/>
    <cellStyle name="style1482778531101" xfId="459"/>
    <cellStyle name="style1482778531179" xfId="460"/>
    <cellStyle name="style1482778535016" xfId="461"/>
    <cellStyle name="style1482778535282" xfId="462"/>
    <cellStyle name="style1482778535516" xfId="463"/>
    <cellStyle name="style1482778535781" xfId="464"/>
    <cellStyle name="style1482778535999" xfId="465"/>
    <cellStyle name="style1482778536218" xfId="466"/>
    <cellStyle name="style1482778536405" xfId="467"/>
    <cellStyle name="style1482778536561" xfId="468"/>
    <cellStyle name="style1482778536732" xfId="469"/>
    <cellStyle name="style1482778536920" xfId="470"/>
    <cellStyle name="style1482778537138" xfId="471"/>
    <cellStyle name="style1482778537310" xfId="472"/>
    <cellStyle name="style1482778537434" xfId="473"/>
    <cellStyle name="style1482778537575" xfId="474"/>
    <cellStyle name="style1482778537715" xfId="475"/>
    <cellStyle name="style1482778552613" xfId="476"/>
    <cellStyle name="style1482778552863" xfId="477"/>
    <cellStyle name="style1482778553128" xfId="478"/>
    <cellStyle name="style1482778553362" xfId="479"/>
    <cellStyle name="style1482778553549" xfId="480"/>
    <cellStyle name="style1482778553783" xfId="481"/>
    <cellStyle name="style1482778554017" xfId="482"/>
    <cellStyle name="style1482778554220" xfId="483"/>
    <cellStyle name="style1482778554407" xfId="484"/>
    <cellStyle name="style1482778554595" xfId="485"/>
    <cellStyle name="style1482778554829" xfId="486"/>
    <cellStyle name="style1482778555016" xfId="487"/>
    <cellStyle name="style1482778555172" xfId="488"/>
    <cellStyle name="style1482778555359" xfId="489"/>
    <cellStyle name="style1482778555531" xfId="490"/>
    <cellStyle name="style1482778562005" xfId="491"/>
    <cellStyle name="style1482778562285" xfId="492"/>
    <cellStyle name="style1482778562535" xfId="493"/>
    <cellStyle name="style1482778562769" xfId="494"/>
    <cellStyle name="style1482778562972" xfId="495"/>
    <cellStyle name="style1482778563206" xfId="496"/>
    <cellStyle name="style1482778563440" xfId="497"/>
    <cellStyle name="style1482778563643" xfId="498"/>
    <cellStyle name="style1482778563845" xfId="499"/>
    <cellStyle name="style1482778564033" xfId="500"/>
    <cellStyle name="style1482778564267" xfId="501"/>
    <cellStyle name="style1482778564469" xfId="502"/>
    <cellStyle name="style1482778564672" xfId="503"/>
    <cellStyle name="style1482778564922" xfId="504"/>
    <cellStyle name="style1482778565109" xfId="505"/>
    <cellStyle name="style1482778580116" xfId="506"/>
    <cellStyle name="style1482778580288" xfId="507"/>
    <cellStyle name="style1482778580459" xfId="508"/>
    <cellStyle name="style1482778580600" xfId="509"/>
    <cellStyle name="style1482778580787" xfId="510"/>
    <cellStyle name="style1482778580943" xfId="511"/>
    <cellStyle name="style1482778581068" xfId="512"/>
    <cellStyle name="style1482778581177" xfId="513"/>
    <cellStyle name="style1482778581302" xfId="514"/>
    <cellStyle name="style1482778581427" xfId="515"/>
    <cellStyle name="style1482778581551" xfId="516"/>
    <cellStyle name="style1482778581661" xfId="517"/>
    <cellStyle name="style1482778581770" xfId="518"/>
    <cellStyle name="style1482778581895" xfId="519"/>
    <cellStyle name="style1482778581988" xfId="520"/>
    <cellStyle name="style1482778585779" xfId="521"/>
    <cellStyle name="style1482778585857" xfId="522"/>
    <cellStyle name="style1482778585919" xfId="523"/>
    <cellStyle name="style1482778585997" xfId="524"/>
    <cellStyle name="style1482778586075" xfId="525"/>
    <cellStyle name="style1482778586138" xfId="526"/>
    <cellStyle name="style1482778586216" xfId="527"/>
    <cellStyle name="style1482778586278" xfId="528"/>
    <cellStyle name="style1482778586341" xfId="529"/>
    <cellStyle name="style1482778586419" xfId="530"/>
    <cellStyle name="style1482778586512" xfId="531"/>
    <cellStyle name="style1482778586575" xfId="532"/>
    <cellStyle name="style1482778586637" xfId="533"/>
    <cellStyle name="style1482778586715" xfId="534"/>
    <cellStyle name="style1482778586777" xfId="535"/>
    <cellStyle name="style1482778590397" xfId="536"/>
    <cellStyle name="style1482778590475" xfId="537"/>
    <cellStyle name="style1482778590537" xfId="538"/>
    <cellStyle name="style1482778590615" xfId="539"/>
    <cellStyle name="style1482778590693" xfId="540"/>
    <cellStyle name="style1482778590755" xfId="541"/>
    <cellStyle name="style1482778590833" xfId="542"/>
    <cellStyle name="style1482778590896" xfId="543"/>
    <cellStyle name="style1482778590958" xfId="544"/>
    <cellStyle name="style1482778591052" xfId="545"/>
    <cellStyle name="style1482778591130" xfId="546"/>
    <cellStyle name="style1482778591192" xfId="547"/>
    <cellStyle name="style1482778591255" xfId="548"/>
    <cellStyle name="style1482778591333" xfId="549"/>
    <cellStyle name="style1482778591395" xfId="550"/>
    <cellStyle name="style1482778597791" xfId="551"/>
    <cellStyle name="style1482778597869" xfId="552"/>
    <cellStyle name="style1482778597931" xfId="553"/>
    <cellStyle name="style1482778598009" xfId="554"/>
    <cellStyle name="style1482778598087" xfId="555"/>
    <cellStyle name="style1482778598150" xfId="556"/>
    <cellStyle name="style1482778598228" xfId="557"/>
    <cellStyle name="style1482778598306" xfId="558"/>
    <cellStyle name="style1482778598368" xfId="559"/>
    <cellStyle name="style1482778598431" xfId="560"/>
    <cellStyle name="style1482778598509" xfId="561"/>
    <cellStyle name="style1482778598571" xfId="562"/>
    <cellStyle name="style1482778598649" xfId="563"/>
    <cellStyle name="style1482778598727" xfId="564"/>
    <cellStyle name="style1482778598789" xfId="565"/>
    <cellStyle name="style1482778602409" xfId="566"/>
    <cellStyle name="style1482778602487" xfId="567"/>
    <cellStyle name="style1482778602565" xfId="568"/>
    <cellStyle name="style1482778602627" xfId="569"/>
    <cellStyle name="style1482778602705" xfId="570"/>
    <cellStyle name="style1482778602783" xfId="571"/>
    <cellStyle name="style1482778602861" xfId="572"/>
    <cellStyle name="style1482778602923" xfId="573"/>
    <cellStyle name="style1482778602986" xfId="574"/>
    <cellStyle name="style1482778603064" xfId="575"/>
    <cellStyle name="style1482778603157" xfId="576"/>
    <cellStyle name="style1482778603220" xfId="577"/>
    <cellStyle name="style1482778603282" xfId="578"/>
    <cellStyle name="style1482778603345" xfId="579"/>
    <cellStyle name="style1482778603407" xfId="580"/>
    <cellStyle name="style1482778607354" xfId="581"/>
    <cellStyle name="style1482778607432" xfId="582"/>
    <cellStyle name="style1482778607494" xfId="583"/>
    <cellStyle name="style1482778607572" xfId="584"/>
    <cellStyle name="style1482778607635" xfId="585"/>
    <cellStyle name="style1482778607713" xfId="586"/>
    <cellStyle name="style1482778607791" xfId="587"/>
    <cellStyle name="style1482778607853" xfId="588"/>
    <cellStyle name="style1482778607931" xfId="589"/>
    <cellStyle name="style1482778607993" xfId="590"/>
    <cellStyle name="style1482778608071" xfId="591"/>
    <cellStyle name="style1482778608134" xfId="592"/>
    <cellStyle name="style1482778608196" xfId="593"/>
    <cellStyle name="style1482778608274" xfId="594"/>
    <cellStyle name="style1482778608352" xfId="595"/>
    <cellStyle name="style1482778614389" xfId="596"/>
    <cellStyle name="style1482778614467" xfId="597"/>
    <cellStyle name="style1482778614545" xfId="598"/>
    <cellStyle name="style1482778614623" xfId="599"/>
    <cellStyle name="style1482778614717" xfId="600"/>
    <cellStyle name="style1482778614779" xfId="601"/>
    <cellStyle name="style1482778614857" xfId="602"/>
    <cellStyle name="style1482778614920" xfId="603"/>
    <cellStyle name="style1482778614998" xfId="604"/>
    <cellStyle name="style1482778615076" xfId="605"/>
    <cellStyle name="style1482778615169" xfId="606"/>
    <cellStyle name="style1482778615232" xfId="607"/>
    <cellStyle name="style1482778615310" xfId="608"/>
    <cellStyle name="style1482778615372" xfId="609"/>
    <cellStyle name="style1482778615450" xfId="610"/>
    <cellStyle name="style1482778619116" xfId="611"/>
    <cellStyle name="style1482778619194" xfId="612"/>
    <cellStyle name="style1482778619272" xfId="613"/>
    <cellStyle name="style1482778619350" xfId="614"/>
    <cellStyle name="style1482778619428" xfId="615"/>
    <cellStyle name="style1482778619491" xfId="616"/>
    <cellStyle name="style1482778619569" xfId="617"/>
    <cellStyle name="style1482778619631" xfId="618"/>
    <cellStyle name="style1482778619709" xfId="619"/>
    <cellStyle name="style1482778619771" xfId="620"/>
    <cellStyle name="style1482778619865" xfId="621"/>
    <cellStyle name="style1482778619927" xfId="622"/>
    <cellStyle name="style1482778619990" xfId="623"/>
    <cellStyle name="style1482778620068" xfId="624"/>
    <cellStyle name="style1482778620115" xfId="625"/>
    <cellStyle name="style1482778623781" xfId="626"/>
    <cellStyle name="style1482778623859" xfId="627"/>
    <cellStyle name="style1482778623937" xfId="628"/>
    <cellStyle name="style1482778624015" xfId="629"/>
    <cellStyle name="style1482778624093" xfId="630"/>
    <cellStyle name="style1482778624171" xfId="631"/>
    <cellStyle name="style1482778624233" xfId="632"/>
    <cellStyle name="style1482778624295" xfId="633"/>
    <cellStyle name="style1482778624373" xfId="634"/>
    <cellStyle name="style1482778624451" xfId="635"/>
    <cellStyle name="style1482778624529" xfId="636"/>
    <cellStyle name="style1482778624607" xfId="637"/>
    <cellStyle name="style1482778624670" xfId="638"/>
    <cellStyle name="style1482778624748" xfId="639"/>
    <cellStyle name="style1482778624810" xfId="640"/>
    <cellStyle name="style1482778636557" xfId="641"/>
    <cellStyle name="style1482778636713" xfId="642"/>
    <cellStyle name="style1482778636885" xfId="643"/>
    <cellStyle name="style1482778637025" xfId="644"/>
    <cellStyle name="style1482778637181" xfId="645"/>
    <cellStyle name="style1482778637415" xfId="646"/>
    <cellStyle name="style1482778637649" xfId="647"/>
    <cellStyle name="style1482778637836" xfId="648"/>
    <cellStyle name="style1482778638008" xfId="649"/>
    <cellStyle name="style1482778638211" xfId="650"/>
    <cellStyle name="style1482778638398" xfId="651"/>
    <cellStyle name="style1482778638538" xfId="652"/>
    <cellStyle name="style1482778638710" xfId="653"/>
    <cellStyle name="style1482778638866" xfId="654"/>
    <cellStyle name="style1482778639006" xfId="655"/>
    <cellStyle name="style1482778648819" xfId="656"/>
    <cellStyle name="style1482778649068" xfId="657"/>
    <cellStyle name="style1482778649318" xfId="658"/>
    <cellStyle name="style1482778649552" xfId="659"/>
    <cellStyle name="style1482778649770" xfId="660"/>
    <cellStyle name="style1482778650004" xfId="661"/>
    <cellStyle name="style1482778650238" xfId="662"/>
    <cellStyle name="style1482778650441" xfId="663"/>
    <cellStyle name="style1482778650613" xfId="664"/>
    <cellStyle name="style1482778650831" xfId="665"/>
    <cellStyle name="style1482778651034" xfId="666"/>
    <cellStyle name="style1482778651190" xfId="667"/>
    <cellStyle name="style1482778651361" xfId="668"/>
    <cellStyle name="style1482778651549" xfId="669"/>
    <cellStyle name="style1482778651689" xfId="670"/>
    <cellStyle name="style1482778659099" xfId="671"/>
    <cellStyle name="style1482778659208" xfId="672"/>
    <cellStyle name="style1482778659302" xfId="673"/>
    <cellStyle name="style1482778659395" xfId="674"/>
    <cellStyle name="style1482778659489" xfId="675"/>
    <cellStyle name="style1482778659598" xfId="676"/>
    <cellStyle name="style1482778659707" xfId="677"/>
    <cellStyle name="style1482778659785" xfId="678"/>
    <cellStyle name="style1482778659879" xfId="679"/>
    <cellStyle name="style1482778659957" xfId="680"/>
    <cellStyle name="style1482778660051" xfId="681"/>
    <cellStyle name="style1482778660144" xfId="682"/>
    <cellStyle name="style1482778660285" xfId="683"/>
    <cellStyle name="style1482778660550" xfId="684"/>
    <cellStyle name="style1482778660753" xfId="685"/>
    <cellStyle name="style1482778676790" xfId="686"/>
    <cellStyle name="style1482778676977" xfId="687"/>
    <cellStyle name="style1482778677117" xfId="688"/>
    <cellStyle name="style1482778677242" xfId="689"/>
    <cellStyle name="style1482778677398" xfId="690"/>
    <cellStyle name="style1482778677554" xfId="691"/>
    <cellStyle name="style1482778677694" xfId="692"/>
    <cellStyle name="style1482778677819" xfId="693"/>
    <cellStyle name="style1482778677960" xfId="694"/>
    <cellStyle name="style1482778678100" xfId="695"/>
    <cellStyle name="style1482778678225" xfId="696"/>
    <cellStyle name="style1482778678350" xfId="697"/>
    <cellStyle name="style1482778678443" xfId="698"/>
    <cellStyle name="style1482778678599" xfId="699"/>
    <cellStyle name="style1482778678708" xfId="700"/>
    <cellStyle name="style1482778678802" xfId="701"/>
    <cellStyle name="style1482778682811" xfId="702"/>
    <cellStyle name="style1482778682889" xfId="703"/>
    <cellStyle name="style1482778682967" xfId="704"/>
    <cellStyle name="style1482778683030" xfId="705"/>
    <cellStyle name="style1482778683092" xfId="706"/>
    <cellStyle name="style1482778683170" xfId="707"/>
    <cellStyle name="style1482778683248" xfId="708"/>
    <cellStyle name="style1482778683310" xfId="709"/>
    <cellStyle name="style1482778683404" xfId="710"/>
    <cellStyle name="style1482778683482" xfId="711"/>
    <cellStyle name="style1482778683544" xfId="712"/>
    <cellStyle name="style1482778683622" xfId="713"/>
    <cellStyle name="style1482778683700" xfId="714"/>
    <cellStyle name="style1482778683794" xfId="715"/>
    <cellStyle name="style1482778683856" xfId="716"/>
    <cellStyle name="style1482778687569" xfId="717"/>
    <cellStyle name="style1482778687647" xfId="718"/>
    <cellStyle name="style1482778687725" xfId="719"/>
    <cellStyle name="style1482778687788" xfId="720"/>
    <cellStyle name="style1482778687866" xfId="721"/>
    <cellStyle name="style1482778687928" xfId="722"/>
    <cellStyle name="style1482778688006" xfId="723"/>
    <cellStyle name="style1482778688068" xfId="724"/>
    <cellStyle name="style1482778688162" xfId="725"/>
    <cellStyle name="style1482778688240" xfId="726"/>
    <cellStyle name="style1482778688302" xfId="727"/>
    <cellStyle name="style1482778688380" xfId="728"/>
    <cellStyle name="style1482778688458" xfId="729"/>
    <cellStyle name="style1482778688568" xfId="730"/>
    <cellStyle name="style1482778688630" xfId="731"/>
    <cellStyle name="style1482778694714" xfId="732"/>
    <cellStyle name="style1482778694792" xfId="733"/>
    <cellStyle name="style1482778694870" xfId="734"/>
    <cellStyle name="style1482778694932" xfId="735"/>
    <cellStyle name="style1482778695010" xfId="736"/>
    <cellStyle name="style1482778695073" xfId="737"/>
    <cellStyle name="style1482778695151" xfId="738"/>
    <cellStyle name="style1482778695229" xfId="739"/>
    <cellStyle name="style1482778695307" xfId="740"/>
    <cellStyle name="style1482778695369" xfId="741"/>
    <cellStyle name="style1482778695447" xfId="742"/>
    <cellStyle name="style1482778695525" xfId="743"/>
    <cellStyle name="style1482778695588" xfId="744"/>
    <cellStyle name="style1559475160642" xfId="1"/>
    <cellStyle name="style1559475160829" xfId="2"/>
    <cellStyle name="style1559475160970" xfId="3"/>
    <cellStyle name="style1559475161095" xfId="4"/>
    <cellStyle name="style1559475161220" xfId="5"/>
    <cellStyle name="style1559475161376" xfId="6"/>
    <cellStyle name="style1559475161548" xfId="7"/>
    <cellStyle name="style1559475161689" xfId="8"/>
    <cellStyle name="style1559475161845" xfId="9"/>
    <cellStyle name="style1559475161986" xfId="10"/>
    <cellStyle name="style1559475162095" xfId="11"/>
    <cellStyle name="style1559476170122" xfId="13"/>
    <cellStyle name="style1559476170247" xfId="14"/>
    <cellStyle name="style1559476170357" xfId="15"/>
    <cellStyle name="style1559476170497" xfId="16"/>
    <cellStyle name="style1559476170622" xfId="17"/>
    <cellStyle name="style1559476170716" xfId="18"/>
    <cellStyle name="style1559476170857" xfId="19"/>
    <cellStyle name="style1559476170950" xfId="20"/>
    <cellStyle name="style1559476171075" xfId="21"/>
    <cellStyle name="style1559476171200" xfId="22"/>
    <cellStyle name="style1559476171341" xfId="23"/>
    <cellStyle name="style1559476171450" xfId="24"/>
    <cellStyle name="style1559476171575" xfId="25"/>
    <cellStyle name="style1559481151744" xfId="26"/>
    <cellStyle name="style1559481151900" xfId="27"/>
    <cellStyle name="style1559481151994" xfId="28"/>
    <cellStyle name="style1559481152088" xfId="29"/>
    <cellStyle name="style1559481152213" xfId="30"/>
    <cellStyle name="style1559481152291" xfId="31"/>
    <cellStyle name="style1559481152385" xfId="32"/>
    <cellStyle name="style1559481152510" xfId="33"/>
    <cellStyle name="style1559481152588" xfId="34"/>
    <cellStyle name="style1559481152697" xfId="35"/>
    <cellStyle name="style1559481152775" xfId="36"/>
    <cellStyle name="style1559481152854" xfId="37"/>
    <cellStyle name="style1559481153041" xfId="38"/>
    <cellStyle name="style1559481153135" xfId="39"/>
    <cellStyle name="style1559481153244" xfId="40"/>
    <cellStyle name="style1559482285069" xfId="41"/>
    <cellStyle name="style1559482285194" xfId="42"/>
    <cellStyle name="style1559482285319" xfId="43"/>
    <cellStyle name="style1559482285397" xfId="44"/>
    <cellStyle name="style1559482285491" xfId="45"/>
    <cellStyle name="style1559482285585" xfId="46"/>
    <cellStyle name="style1559482285678" xfId="47"/>
    <cellStyle name="style1559482285803" xfId="48"/>
    <cellStyle name="style1559482285897" xfId="49"/>
    <cellStyle name="style1559482285975" xfId="50"/>
    <cellStyle name="style1559482286085" xfId="51"/>
    <cellStyle name="style1559482286163" xfId="52"/>
    <cellStyle name="style1559482286225" xfId="53"/>
    <cellStyle name="style1559484455047" xfId="54"/>
    <cellStyle name="style1559484455172" xfId="55"/>
    <cellStyle name="style1559484455297" xfId="56"/>
    <cellStyle name="style1559484455391" xfId="57"/>
    <cellStyle name="style1559484455485" xfId="58"/>
    <cellStyle name="style1559484455563" xfId="59"/>
    <cellStyle name="style1559484455672" xfId="60"/>
    <cellStyle name="style1559484455797" xfId="61"/>
    <cellStyle name="style1559484455876" xfId="62"/>
    <cellStyle name="style1559484455969" xfId="63"/>
    <cellStyle name="style1559484456047" xfId="64"/>
    <cellStyle name="style1559484456204" xfId="65"/>
    <cellStyle name="style1559484456329" xfId="66"/>
    <cellStyle name="style1559484456407" xfId="67"/>
    <cellStyle name="style1559484456469" xfId="68"/>
    <cellStyle name="style1559484456563" xfId="69"/>
    <cellStyle name="style1559484456688" xfId="70"/>
    <cellStyle name="style1559484456751" xfId="71"/>
    <cellStyle name="style1559564190497" xfId="72"/>
    <cellStyle name="style1559564190582" xfId="73"/>
    <cellStyle name="style1559564190642" xfId="74"/>
    <cellStyle name="style1559564190698" xfId="75"/>
    <cellStyle name="style1559564190753" xfId="76"/>
    <cellStyle name="style1559564190798" xfId="77"/>
    <cellStyle name="style1559564190857" xfId="78"/>
    <cellStyle name="style1559564190910" xfId="79"/>
    <cellStyle name="style1559564190977" xfId="80"/>
    <cellStyle name="style1559564191032" xfId="81"/>
    <cellStyle name="style1559564191082" xfId="82"/>
    <cellStyle name="style1559564191129" xfId="83"/>
    <cellStyle name="style1559564191196" xfId="84"/>
    <cellStyle name="style1559564191239" xfId="85"/>
    <cellStyle name="style1559564191293" xfId="86"/>
    <cellStyle name="style1559579852388" xfId="87"/>
    <cellStyle name="style1559579852529" xfId="88"/>
    <cellStyle name="style1559579852622" xfId="89"/>
    <cellStyle name="style1559579852732" xfId="90"/>
    <cellStyle name="style1559579852825" xfId="91"/>
    <cellStyle name="style1559579852950" xfId="92"/>
    <cellStyle name="style1559579853060" xfId="93"/>
    <cellStyle name="style1559579853200" xfId="94"/>
    <cellStyle name="style1559579853310" xfId="95"/>
    <cellStyle name="style1559579853372" xfId="96"/>
    <cellStyle name="style1559579853482" xfId="97"/>
    <cellStyle name="style1559579853575" xfId="98"/>
    <cellStyle name="style1559579853700" xfId="99"/>
    <cellStyle name="style1559579853857" xfId="100"/>
    <cellStyle name="style1559579853950" xfId="101"/>
    <cellStyle name="style1559579854060" xfId="102"/>
    <cellStyle name="style1559631109086" xfId="103"/>
    <cellStyle name="style1559631109242" xfId="104"/>
    <cellStyle name="style1559631109352" xfId="105"/>
    <cellStyle name="style1559631109477" xfId="106"/>
    <cellStyle name="style1559631109602" xfId="107"/>
    <cellStyle name="style1559631109711" xfId="108"/>
    <cellStyle name="style1559631109836" xfId="109"/>
    <cellStyle name="style1559631109992" xfId="110"/>
    <cellStyle name="style1559631110133" xfId="111"/>
    <cellStyle name="style1559631110320" xfId="112"/>
    <cellStyle name="style1559631110414" xfId="113"/>
    <cellStyle name="style1559631110571" xfId="114"/>
    <cellStyle name="style1559631110711" xfId="115"/>
    <cellStyle name="style1559631110789" xfId="116"/>
    <cellStyle name="style1559631110852" xfId="117"/>
    <cellStyle name="style1559631110961" xfId="118"/>
    <cellStyle name="style1559631111024" xfId="119"/>
    <cellStyle name="style1559649033939" xfId="120"/>
    <cellStyle name="style1559649034079" xfId="121"/>
    <cellStyle name="style1559649034173" xfId="122"/>
    <cellStyle name="style1559649034282" xfId="123"/>
    <cellStyle name="style1559649034392" xfId="124"/>
    <cellStyle name="style1559649034517" xfId="125"/>
    <cellStyle name="style1559649034611" xfId="126"/>
    <cellStyle name="style1559649034720" xfId="127"/>
    <cellStyle name="style1559649034814" xfId="128"/>
    <cellStyle name="style1559649034892" xfId="129"/>
    <cellStyle name="style1559649035001" xfId="130"/>
    <cellStyle name="style1559649035064" xfId="131"/>
    <cellStyle name="style1559649035189" xfId="132"/>
    <cellStyle name="style1559649035314" xfId="133"/>
    <cellStyle name="style1559649035423" xfId="134"/>
    <cellStyle name="style1559649035532" xfId="135"/>
    <cellStyle name="style1559649880804" xfId="136"/>
    <cellStyle name="style1559649880929" xfId="137"/>
    <cellStyle name="style1559649881038" xfId="138"/>
    <cellStyle name="style1559649881132" xfId="139"/>
    <cellStyle name="style1559649881241" xfId="140"/>
    <cellStyle name="style1559649881351" xfId="141"/>
    <cellStyle name="style1559649881491" xfId="142"/>
    <cellStyle name="style1559649881585" xfId="143"/>
    <cellStyle name="style1559649881694" xfId="144"/>
    <cellStyle name="style1559649881788" xfId="145"/>
    <cellStyle name="style1559649881851" xfId="146"/>
    <cellStyle name="style1559649881929" xfId="147"/>
    <cellStyle name="style1559649882007" xfId="148"/>
    <cellStyle name="style1559650358670" xfId="149"/>
    <cellStyle name="style1559650358764" xfId="150"/>
    <cellStyle name="style1559650358857" xfId="151"/>
    <cellStyle name="style1559650358951" xfId="152"/>
    <cellStyle name="style1559650359045" xfId="153"/>
    <cellStyle name="style1559650359107" xfId="154"/>
    <cellStyle name="style1559650359217" xfId="155"/>
    <cellStyle name="style1559650359311" xfId="156"/>
    <cellStyle name="style1559650359404" xfId="157"/>
    <cellStyle name="style1559650359482" xfId="158"/>
    <cellStyle name="style1559650359561" xfId="159"/>
    <cellStyle name="style1559669108010" xfId="160"/>
    <cellStyle name="style1559669108166" xfId="161"/>
    <cellStyle name="style1559669108297" xfId="162"/>
    <cellStyle name="style1559669108415" xfId="163"/>
    <cellStyle name="style1559669108549" xfId="164"/>
    <cellStyle name="style1559669108680" xfId="165"/>
    <cellStyle name="style1559669108790" xfId="166"/>
    <cellStyle name="style1559669108876" xfId="167"/>
    <cellStyle name="style1559669109014" xfId="168"/>
    <cellStyle name="style1559669109249" xfId="169"/>
    <cellStyle name="style1559669109380" xfId="170"/>
    <cellStyle name="style1559669109459" xfId="171"/>
    <cellStyle name="style1559669109542" xfId="172"/>
    <cellStyle name="style1559669109640" xfId="173"/>
    <cellStyle name="style1559669109746" xfId="174"/>
    <cellStyle name="style1559669109827" xfId="175"/>
    <cellStyle name="style1559669900340" xfId="176"/>
    <cellStyle name="style1559669900453" xfId="177"/>
    <cellStyle name="style1559669900551" xfId="178"/>
    <cellStyle name="style1559669900660" xfId="179"/>
    <cellStyle name="style1559669900778" xfId="180"/>
    <cellStyle name="style1559669900922" xfId="181"/>
    <cellStyle name="style1559669901039" xfId="182"/>
    <cellStyle name="style1559669901134" xfId="183"/>
    <cellStyle name="style1559669901213" xfId="184"/>
    <cellStyle name="style1559669901312" xfId="185"/>
    <cellStyle name="style1559669901459" xfId="186"/>
    <cellStyle name="style1559669901552" xfId="187"/>
    <cellStyle name="style1559669901639" xfId="188"/>
    <cellStyle name="style1559669901815" xfId="189"/>
    <cellStyle name="style1559670956223" xfId="191"/>
    <cellStyle name="style1559670956322" xfId="192"/>
    <cellStyle name="style1559670956421" xfId="193"/>
    <cellStyle name="style1559670956513" xfId="194"/>
    <cellStyle name="style1559670956607" xfId="195"/>
    <cellStyle name="style1559670956701" xfId="196"/>
    <cellStyle name="style1559670956803" xfId="197"/>
    <cellStyle name="style1559670956874" xfId="198"/>
    <cellStyle name="style1559670956960" xfId="199"/>
    <cellStyle name="style1559670957061" xfId="200"/>
    <cellStyle name="style1559670957162" xfId="201"/>
    <cellStyle name="style1559670957239" xfId="202"/>
    <cellStyle name="style1559670957313" xfId="203"/>
    <cellStyle name="style1559670957406" xfId="204"/>
    <cellStyle name="style1559732509921" xfId="205"/>
    <cellStyle name="style1559732510061" xfId="206"/>
    <cellStyle name="style1559732510155" xfId="207"/>
    <cellStyle name="style1559732510280" xfId="208"/>
    <cellStyle name="style1559732510373" xfId="209"/>
    <cellStyle name="style1559732510483" xfId="210"/>
    <cellStyle name="style1559732510623" xfId="211"/>
    <cellStyle name="style1559732510748" xfId="212"/>
    <cellStyle name="style1559732510842" xfId="213"/>
    <cellStyle name="style1559732510936" xfId="214"/>
    <cellStyle name="style1559732511030" xfId="215"/>
    <cellStyle name="style1559732511139" xfId="216"/>
    <cellStyle name="style1559732511264" xfId="217"/>
    <cellStyle name="style1559732511358" xfId="218"/>
    <cellStyle name="style1559732511467" xfId="219"/>
    <cellStyle name="style1559733428920" xfId="220"/>
    <cellStyle name="style1559733429077" xfId="221"/>
    <cellStyle name="style1559733429186" xfId="222"/>
    <cellStyle name="style1559733429296" xfId="223"/>
    <cellStyle name="style1559733429452" xfId="224"/>
    <cellStyle name="style1559733429561" xfId="225"/>
    <cellStyle name="style1559733429686" xfId="226"/>
    <cellStyle name="style1559733429811" xfId="227"/>
    <cellStyle name="style1559733429889" xfId="228"/>
    <cellStyle name="style1559733429999" xfId="229"/>
    <cellStyle name="style1559733430124" xfId="230"/>
    <cellStyle name="style1559733430217" xfId="231"/>
    <cellStyle name="style1559733430311" xfId="232"/>
    <cellStyle name="style1559733430452" xfId="233"/>
    <cellStyle name="style1559734038059" xfId="234"/>
    <cellStyle name="style1559734038215" xfId="235"/>
    <cellStyle name="style1559734038340" xfId="236"/>
    <cellStyle name="style1559734038496" xfId="237"/>
    <cellStyle name="style1559734038606" xfId="238"/>
    <cellStyle name="style1559734038746" xfId="239"/>
    <cellStyle name="style1559734038840" xfId="240"/>
    <cellStyle name="style1559734038934" xfId="241"/>
    <cellStyle name="style1559734039028" xfId="242"/>
    <cellStyle name="style1559734039137" xfId="243"/>
    <cellStyle name="style1559734039293" xfId="244"/>
    <cellStyle name="style1559734039372" xfId="245"/>
    <cellStyle name="style1559734039434" xfId="246"/>
    <cellStyle name="style1559734039543" xfId="247"/>
    <cellStyle name="style1559734962208" xfId="248"/>
    <cellStyle name="style1559734962349" xfId="249"/>
    <cellStyle name="style1559734962474" xfId="250"/>
    <cellStyle name="style1559734962599" xfId="251"/>
    <cellStyle name="style1559734962771" xfId="252"/>
    <cellStyle name="style1559734962864" xfId="253"/>
    <cellStyle name="style1559734962958" xfId="254"/>
    <cellStyle name="style1559734963021" xfId="255"/>
    <cellStyle name="style1559734963099" xfId="256"/>
    <cellStyle name="style1559734963177" xfId="257"/>
    <cellStyle name="style1559734963271" xfId="258"/>
    <cellStyle name="style1559734963349" xfId="259"/>
    <cellStyle name="style1559734963427" xfId="260"/>
    <cellStyle name="style1559734963521" xfId="261"/>
    <cellStyle name="style1559735703337" xfId="262"/>
    <cellStyle name="style1559735703446" xfId="263"/>
    <cellStyle name="style1559735703540" xfId="264"/>
    <cellStyle name="style1559735703665" xfId="265"/>
    <cellStyle name="style1559735703837" xfId="266"/>
    <cellStyle name="style1559735703993" xfId="267"/>
    <cellStyle name="style1559735704071" xfId="268"/>
    <cellStyle name="style1559735704134" xfId="269"/>
    <cellStyle name="style1559735704212" xfId="270"/>
    <cellStyle name="style1559735704290" xfId="271"/>
    <cellStyle name="style1559735704384" xfId="272"/>
    <cellStyle name="style1559735704493" xfId="273"/>
    <cellStyle name="style1559735704618" xfId="274"/>
    <cellStyle name="style1559735704727" xfId="275"/>
    <cellStyle name="style1559736915022" xfId="276"/>
    <cellStyle name="style1559736915131" xfId="277"/>
    <cellStyle name="style1559736915209" xfId="278"/>
    <cellStyle name="style1559736915303" xfId="279"/>
    <cellStyle name="style1559736915381" xfId="280"/>
    <cellStyle name="style1559736915475" xfId="281"/>
    <cellStyle name="style1559736915569" xfId="282"/>
    <cellStyle name="style1559736915647" xfId="283"/>
    <cellStyle name="style1559736915725" xfId="284"/>
    <cellStyle name="style1559736915803" xfId="285"/>
    <cellStyle name="style1559736915897" xfId="286"/>
    <cellStyle name="style1559736915975" xfId="287"/>
    <cellStyle name="style1559736916053" xfId="288"/>
    <cellStyle name="style1559736916178" xfId="289"/>
    <cellStyle name="style1559738128331" xfId="290"/>
    <cellStyle name="style1559738128440" xfId="291"/>
    <cellStyle name="style1559738128534" xfId="292"/>
    <cellStyle name="style1559738128643" xfId="293"/>
    <cellStyle name="style1559738128784" xfId="294"/>
    <cellStyle name="style1559738128878" xfId="295"/>
    <cellStyle name="style1559738128987" xfId="296"/>
    <cellStyle name="style1559738129049" xfId="297"/>
    <cellStyle name="style1559738129143" xfId="298"/>
    <cellStyle name="style1559738129221" xfId="299"/>
    <cellStyle name="style1559738129362" xfId="300"/>
    <cellStyle name="style1559738129440" xfId="301"/>
    <cellStyle name="style1559738129534" xfId="302"/>
    <cellStyle name="style1559738129628" xfId="303"/>
    <cellStyle name="style1559750125630" xfId="304"/>
    <cellStyle name="style1559750125833" xfId="305"/>
    <cellStyle name="style1559750125958" xfId="306"/>
    <cellStyle name="style1559750126114" xfId="307"/>
    <cellStyle name="style1559750126255" xfId="308"/>
    <cellStyle name="style1559750126396" xfId="309"/>
    <cellStyle name="style1559750126567" xfId="310"/>
    <cellStyle name="style1559750126708" xfId="311"/>
    <cellStyle name="style1559750126849" xfId="312"/>
    <cellStyle name="style1559750126942" xfId="313"/>
    <cellStyle name="style1559750127099" xfId="314"/>
    <cellStyle name="style1559750127333" xfId="315"/>
    <cellStyle name="style1559750127442" xfId="316"/>
    <cellStyle name="style1559750127536" xfId="317"/>
    <cellStyle name="style1559750127708" xfId="318"/>
    <cellStyle name="style1559751102622" xfId="319"/>
    <cellStyle name="style1559751102778" xfId="320"/>
    <cellStyle name="style1559751102888" xfId="321"/>
    <cellStyle name="style1559751102981" xfId="322"/>
    <cellStyle name="style1559751103060" xfId="323"/>
    <cellStyle name="style1559751103169" xfId="324"/>
    <cellStyle name="style1559751103263" xfId="325"/>
    <cellStyle name="style1559751103325" xfId="326"/>
    <cellStyle name="style1559751103403" xfId="327"/>
    <cellStyle name="style1559751103481" xfId="328"/>
    <cellStyle name="style1559751103575" xfId="329"/>
    <cellStyle name="style1559751103653" xfId="330"/>
    <cellStyle name="style1559751103716" xfId="331"/>
    <cellStyle name="style1559751103841" xfId="332"/>
    <cellStyle name="style1559752009317" xfId="333"/>
    <cellStyle name="style1559752009473" xfId="334"/>
    <cellStyle name="style1559752009598" xfId="335"/>
    <cellStyle name="style1559752009739" xfId="336"/>
    <cellStyle name="style1559752009848" xfId="337"/>
    <cellStyle name="style1559752010004" xfId="338"/>
    <cellStyle name="style1559752010145" xfId="339"/>
    <cellStyle name="style1559752010388" xfId="340"/>
    <cellStyle name="style1559752010575" xfId="341"/>
    <cellStyle name="style1559752010685" xfId="342"/>
    <cellStyle name="style1559752010794" xfId="343"/>
    <cellStyle name="style1559752010935" xfId="344"/>
    <cellStyle name="style1559752011028" xfId="345"/>
    <cellStyle name="style1559752011294" xfId="346"/>
    <cellStyle name="style1559752011435" xfId="347"/>
    <cellStyle name="style1559752011841" xfId="348"/>
    <cellStyle name="style1559752011950" xfId="349"/>
    <cellStyle name="style1559752012231" xfId="350"/>
    <cellStyle name="style1559752012372" xfId="351"/>
    <cellStyle name="style1559752012466" xfId="352"/>
    <cellStyle name="style1559752012544" xfId="353"/>
    <cellStyle name="style1559752012685" xfId="354"/>
    <cellStyle name="style1559803121454" xfId="745"/>
    <cellStyle name="style1559803121610" xfId="746"/>
    <cellStyle name="style1559803121704" xfId="747"/>
    <cellStyle name="style1559803121845" xfId="748"/>
    <cellStyle name="style1559803121970" xfId="749"/>
    <cellStyle name="style1559803122110" xfId="750"/>
    <cellStyle name="style1559803122220" xfId="751"/>
    <cellStyle name="style1559803122329" xfId="752"/>
    <cellStyle name="style1559803122407" xfId="753"/>
    <cellStyle name="style1559803122501" xfId="754"/>
    <cellStyle name="style1559803122595" xfId="755"/>
    <cellStyle name="style1559803122704" xfId="756"/>
    <cellStyle name="style1559803122782" xfId="757"/>
    <cellStyle name="style1559803122907" xfId="758"/>
    <cellStyle name="style1559803123048" xfId="759"/>
    <cellStyle name="style1559803371047" xfId="760"/>
    <cellStyle name="style1559803371157" xfId="761"/>
    <cellStyle name="style1559803371251" xfId="762"/>
    <cellStyle name="style1559803371344" xfId="763"/>
    <cellStyle name="style1559803371438" xfId="764"/>
    <cellStyle name="style1559803371532" xfId="765"/>
    <cellStyle name="style1559803371657" xfId="766"/>
    <cellStyle name="style1559803371766" xfId="767"/>
    <cellStyle name="style1559803371829" xfId="768"/>
    <cellStyle name="style1559803371954" xfId="769"/>
    <cellStyle name="style1559803372079" xfId="770"/>
    <cellStyle name="style1559803372157" xfId="771"/>
    <cellStyle name="style1559803372219" xfId="772"/>
    <cellStyle name="style1559803372313" xfId="773"/>
    <cellStyle name="style1559803401298" xfId="774"/>
    <cellStyle name="style1559803401391" xfId="775"/>
    <cellStyle name="style1559803401485" xfId="776"/>
    <cellStyle name="style1559803401579" xfId="777"/>
    <cellStyle name="style1559803401657" xfId="778"/>
    <cellStyle name="style1559803401751" xfId="779"/>
    <cellStyle name="style1559803401860" xfId="780"/>
    <cellStyle name="style1559803401938" xfId="781"/>
    <cellStyle name="style1559803402032" xfId="782"/>
    <cellStyle name="style1559803402110" xfId="783"/>
    <cellStyle name="style1559803402188" xfId="784"/>
    <cellStyle name="style1559803402282" xfId="785"/>
    <cellStyle name="style1559803402345" xfId="786"/>
    <cellStyle name="style1559803402485" xfId="787"/>
    <cellStyle name="style1559908035334" xfId="789"/>
    <cellStyle name="style1559908035506" xfId="790"/>
    <cellStyle name="style1559908035631" xfId="791"/>
    <cellStyle name="style1559908035803" xfId="792"/>
    <cellStyle name="style1559908036022" xfId="793"/>
    <cellStyle name="style1559908036334" xfId="794"/>
    <cellStyle name="style1559908036631" xfId="795"/>
    <cellStyle name="style1559908036881" xfId="796"/>
    <cellStyle name="style1559908037116" xfId="797"/>
    <cellStyle name="style1559908037319" xfId="798"/>
    <cellStyle name="style1559908037444" xfId="799"/>
    <cellStyle name="style1559908037584" xfId="800"/>
    <cellStyle name="style1559908037678" xfId="801"/>
    <cellStyle name="style1559908037834" xfId="80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281940</xdr:colOff>
      <xdr:row>4</xdr:row>
      <xdr:rowOff>91440</xdr:rowOff>
    </xdr:to>
    <xdr:pic>
      <xdr:nvPicPr>
        <xdr:cNvPr id="3" name="Imagen 44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244340" cy="822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estadistica-eps@ej-gv.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J79"/>
  <sheetViews>
    <sheetView tabSelected="1" workbookViewId="0">
      <selection activeCell="B21" sqref="B21"/>
    </sheetView>
  </sheetViews>
  <sheetFormatPr baseColWidth="10" defaultRowHeight="14.4" x14ac:dyDescent="0.3"/>
  <sheetData>
    <row r="9" spans="1:10" ht="15.6" x14ac:dyDescent="0.3">
      <c r="C9" s="1"/>
      <c r="D9" s="2" t="s">
        <v>33</v>
      </c>
      <c r="E9" s="3"/>
      <c r="F9" s="3"/>
      <c r="G9" s="3"/>
      <c r="H9" s="4"/>
      <c r="I9" s="4"/>
      <c r="J9" s="4"/>
    </row>
    <row r="11" spans="1:10" ht="21" x14ac:dyDescent="0.4">
      <c r="B11" s="5" t="s">
        <v>0</v>
      </c>
    </row>
    <row r="12" spans="1:10" x14ac:dyDescent="0.3">
      <c r="B12" s="6"/>
    </row>
    <row r="13" spans="1:10" x14ac:dyDescent="0.3">
      <c r="A13" s="7" t="s">
        <v>1</v>
      </c>
      <c r="B13" s="8" t="s">
        <v>34</v>
      </c>
    </row>
    <row r="14" spans="1:10" x14ac:dyDescent="0.3">
      <c r="A14" s="7"/>
      <c r="B14" s="8"/>
    </row>
    <row r="15" spans="1:10" x14ac:dyDescent="0.3">
      <c r="A15" s="7" t="s">
        <v>2</v>
      </c>
      <c r="B15" s="8" t="s">
        <v>35</v>
      </c>
    </row>
    <row r="16" spans="1:10" x14ac:dyDescent="0.3">
      <c r="A16" s="7"/>
      <c r="B16" s="8"/>
    </row>
    <row r="17" spans="1:2" x14ac:dyDescent="0.3">
      <c r="A17" s="7" t="s">
        <v>3</v>
      </c>
      <c r="B17" s="8" t="s">
        <v>36</v>
      </c>
    </row>
    <row r="18" spans="1:2" x14ac:dyDescent="0.3">
      <c r="A18" s="7"/>
      <c r="B18" s="8"/>
    </row>
    <row r="19" spans="1:2" x14ac:dyDescent="0.3">
      <c r="A19" s="7" t="s">
        <v>4</v>
      </c>
      <c r="B19" s="8" t="s">
        <v>37</v>
      </c>
    </row>
    <row r="21" spans="1:2" x14ac:dyDescent="0.3">
      <c r="A21" s="7" t="s">
        <v>5</v>
      </c>
      <c r="B21" s="8" t="s">
        <v>38</v>
      </c>
    </row>
    <row r="22" spans="1:2" x14ac:dyDescent="0.3">
      <c r="A22" s="7"/>
      <c r="B22" s="8"/>
    </row>
    <row r="23" spans="1:2" x14ac:dyDescent="0.3">
      <c r="A23" s="9" t="s">
        <v>6</v>
      </c>
      <c r="B23" s="8" t="s">
        <v>39</v>
      </c>
    </row>
    <row r="24" spans="1:2" x14ac:dyDescent="0.3">
      <c r="A24" s="9"/>
      <c r="B24" s="8"/>
    </row>
    <row r="25" spans="1:2" x14ac:dyDescent="0.3">
      <c r="A25" s="9" t="s">
        <v>7</v>
      </c>
      <c r="B25" s="8" t="s">
        <v>40</v>
      </c>
    </row>
    <row r="26" spans="1:2" x14ac:dyDescent="0.3">
      <c r="A26" s="9"/>
      <c r="B26" s="8"/>
    </row>
    <row r="27" spans="1:2" x14ac:dyDescent="0.3">
      <c r="A27" s="7" t="s">
        <v>8</v>
      </c>
      <c r="B27" s="8" t="s">
        <v>41</v>
      </c>
    </row>
    <row r="28" spans="1:2" x14ac:dyDescent="0.3">
      <c r="A28" s="7"/>
      <c r="B28" s="8"/>
    </row>
    <row r="29" spans="1:2" x14ac:dyDescent="0.3">
      <c r="A29" s="7" t="s">
        <v>9</v>
      </c>
      <c r="B29" s="8" t="s">
        <v>42</v>
      </c>
    </row>
    <row r="30" spans="1:2" x14ac:dyDescent="0.3">
      <c r="B30" s="8"/>
    </row>
    <row r="31" spans="1:2" x14ac:dyDescent="0.3">
      <c r="A31" s="9" t="s">
        <v>10</v>
      </c>
      <c r="B31" s="8" t="s">
        <v>43</v>
      </c>
    </row>
    <row r="32" spans="1:2" x14ac:dyDescent="0.3">
      <c r="A32" s="9"/>
      <c r="B32" s="8"/>
    </row>
    <row r="33" spans="1:2" x14ac:dyDescent="0.3">
      <c r="A33" s="9" t="s">
        <v>11</v>
      </c>
      <c r="B33" s="8" t="s">
        <v>44</v>
      </c>
    </row>
    <row r="34" spans="1:2" x14ac:dyDescent="0.3">
      <c r="A34" s="9"/>
      <c r="B34" s="8"/>
    </row>
    <row r="35" spans="1:2" x14ac:dyDescent="0.3">
      <c r="A35" s="7" t="s">
        <v>12</v>
      </c>
      <c r="B35" s="8" t="s">
        <v>403</v>
      </c>
    </row>
    <row r="36" spans="1:2" x14ac:dyDescent="0.3">
      <c r="A36" s="7"/>
      <c r="B36" s="8"/>
    </row>
    <row r="37" spans="1:2" x14ac:dyDescent="0.3">
      <c r="A37" s="7" t="s">
        <v>13</v>
      </c>
      <c r="B37" s="8" t="s">
        <v>45</v>
      </c>
    </row>
    <row r="38" spans="1:2" x14ac:dyDescent="0.3">
      <c r="A38" s="7"/>
      <c r="B38" s="8"/>
    </row>
    <row r="39" spans="1:2" x14ac:dyDescent="0.3">
      <c r="A39" s="7" t="s">
        <v>14</v>
      </c>
      <c r="B39" s="8" t="s">
        <v>46</v>
      </c>
    </row>
    <row r="40" spans="1:2" x14ac:dyDescent="0.3">
      <c r="A40" s="7"/>
      <c r="B40" s="8"/>
    </row>
    <row r="41" spans="1:2" x14ac:dyDescent="0.3">
      <c r="A41" s="7" t="s">
        <v>15</v>
      </c>
      <c r="B41" s="8" t="s">
        <v>47</v>
      </c>
    </row>
    <row r="42" spans="1:2" x14ac:dyDescent="0.3">
      <c r="A42" s="7"/>
      <c r="B42" s="8"/>
    </row>
    <row r="43" spans="1:2" x14ac:dyDescent="0.3">
      <c r="A43" s="7" t="s">
        <v>16</v>
      </c>
      <c r="B43" s="8" t="s">
        <v>48</v>
      </c>
    </row>
    <row r="44" spans="1:2" x14ac:dyDescent="0.3">
      <c r="A44" s="7"/>
      <c r="B44" s="8"/>
    </row>
    <row r="45" spans="1:2" x14ac:dyDescent="0.3">
      <c r="A45" s="7" t="s">
        <v>17</v>
      </c>
      <c r="B45" s="8" t="s">
        <v>395</v>
      </c>
    </row>
    <row r="46" spans="1:2" x14ac:dyDescent="0.3">
      <c r="A46" s="7"/>
      <c r="B46" s="8"/>
    </row>
    <row r="47" spans="1:2" x14ac:dyDescent="0.3">
      <c r="A47" s="7" t="s">
        <v>18</v>
      </c>
      <c r="B47" s="8" t="s">
        <v>49</v>
      </c>
    </row>
    <row r="48" spans="1:2" x14ac:dyDescent="0.3">
      <c r="A48" s="7"/>
      <c r="B48" s="8"/>
    </row>
    <row r="49" spans="1:2" x14ac:dyDescent="0.3">
      <c r="A49" s="7" t="s">
        <v>19</v>
      </c>
      <c r="B49" s="8" t="s">
        <v>396</v>
      </c>
    </row>
    <row r="50" spans="1:2" x14ac:dyDescent="0.3">
      <c r="A50" s="7"/>
      <c r="B50" s="8"/>
    </row>
    <row r="51" spans="1:2" x14ac:dyDescent="0.3">
      <c r="A51" s="7" t="s">
        <v>20</v>
      </c>
      <c r="B51" s="8" t="s">
        <v>50</v>
      </c>
    </row>
    <row r="52" spans="1:2" x14ac:dyDescent="0.3">
      <c r="B52" s="8"/>
    </row>
    <row r="53" spans="1:2" x14ac:dyDescent="0.3">
      <c r="A53" s="7" t="s">
        <v>21</v>
      </c>
      <c r="B53" s="8" t="s">
        <v>397</v>
      </c>
    </row>
    <row r="54" spans="1:2" x14ac:dyDescent="0.3">
      <c r="A54" s="7"/>
      <c r="B54" s="8"/>
    </row>
    <row r="55" spans="1:2" x14ac:dyDescent="0.3">
      <c r="A55" s="7" t="s">
        <v>22</v>
      </c>
      <c r="B55" s="8" t="s">
        <v>51</v>
      </c>
    </row>
    <row r="56" spans="1:2" x14ac:dyDescent="0.3">
      <c r="B56" s="8"/>
    </row>
    <row r="57" spans="1:2" x14ac:dyDescent="0.3">
      <c r="A57" s="7" t="s">
        <v>23</v>
      </c>
      <c r="B57" s="8" t="s">
        <v>398</v>
      </c>
    </row>
    <row r="58" spans="1:2" x14ac:dyDescent="0.3">
      <c r="B58" s="8"/>
    </row>
    <row r="59" spans="1:2" x14ac:dyDescent="0.3">
      <c r="A59" s="7" t="s">
        <v>24</v>
      </c>
      <c r="B59" s="8" t="s">
        <v>417</v>
      </c>
    </row>
    <row r="60" spans="1:2" x14ac:dyDescent="0.3">
      <c r="A60" s="7"/>
      <c r="B60" s="8"/>
    </row>
    <row r="61" spans="1:2" x14ac:dyDescent="0.3">
      <c r="A61" s="7" t="s">
        <v>25</v>
      </c>
      <c r="B61" s="8" t="s">
        <v>399</v>
      </c>
    </row>
    <row r="62" spans="1:2" x14ac:dyDescent="0.3">
      <c r="B62" s="8"/>
    </row>
    <row r="63" spans="1:2" x14ac:dyDescent="0.3">
      <c r="A63" s="7" t="s">
        <v>26</v>
      </c>
      <c r="B63" s="8" t="s">
        <v>52</v>
      </c>
    </row>
    <row r="64" spans="1:2" x14ac:dyDescent="0.3">
      <c r="B64" s="8"/>
    </row>
    <row r="65" spans="1:10" x14ac:dyDescent="0.3">
      <c r="A65" s="7" t="s">
        <v>27</v>
      </c>
      <c r="B65" s="8" t="s">
        <v>53</v>
      </c>
    </row>
    <row r="66" spans="1:10" x14ac:dyDescent="0.3">
      <c r="A66" s="7"/>
      <c r="B66" s="8"/>
    </row>
    <row r="67" spans="1:10" x14ac:dyDescent="0.3">
      <c r="A67" s="7" t="s">
        <v>28</v>
      </c>
      <c r="B67" s="8" t="s">
        <v>54</v>
      </c>
    </row>
    <row r="68" spans="1:10" x14ac:dyDescent="0.3">
      <c r="B68" s="8"/>
    </row>
    <row r="69" spans="1:10" x14ac:dyDescent="0.3">
      <c r="A69" s="7" t="s">
        <v>29</v>
      </c>
      <c r="B69" s="8" t="s">
        <v>390</v>
      </c>
    </row>
    <row r="70" spans="1:10" x14ac:dyDescent="0.3">
      <c r="B70" s="8"/>
    </row>
    <row r="71" spans="1:10" x14ac:dyDescent="0.3">
      <c r="A71" s="7" t="s">
        <v>30</v>
      </c>
      <c r="B71" s="8" t="s">
        <v>391</v>
      </c>
    </row>
    <row r="72" spans="1:10" x14ac:dyDescent="0.3">
      <c r="A72" s="7"/>
      <c r="B72" s="8"/>
    </row>
    <row r="73" spans="1:10" x14ac:dyDescent="0.3">
      <c r="A73" s="7" t="s">
        <v>31</v>
      </c>
      <c r="B73" s="8" t="s">
        <v>404</v>
      </c>
    </row>
    <row r="74" spans="1:10" x14ac:dyDescent="0.3">
      <c r="B74" s="8"/>
    </row>
    <row r="76" spans="1:10" x14ac:dyDescent="0.3">
      <c r="B76" s="550" t="s">
        <v>367</v>
      </c>
      <c r="C76" s="550"/>
      <c r="D76" s="550"/>
      <c r="E76" s="550"/>
      <c r="F76" s="550"/>
      <c r="G76" s="550"/>
      <c r="H76" s="550"/>
      <c r="I76" s="550"/>
      <c r="J76" s="550"/>
    </row>
    <row r="77" spans="1:10" x14ac:dyDescent="0.3">
      <c r="B77" s="550"/>
      <c r="C77" s="550"/>
      <c r="D77" s="550"/>
      <c r="E77" s="550"/>
      <c r="F77" s="550"/>
      <c r="G77" s="550"/>
      <c r="H77" s="550"/>
      <c r="I77" s="550"/>
      <c r="J77" s="550"/>
    </row>
    <row r="78" spans="1:10" x14ac:dyDescent="0.3">
      <c r="B78" s="550"/>
      <c r="C78" s="550"/>
      <c r="D78" s="550"/>
      <c r="E78" s="550"/>
      <c r="F78" s="550"/>
      <c r="G78" s="550"/>
      <c r="H78" s="550"/>
      <c r="I78" s="550"/>
      <c r="J78" s="550"/>
    </row>
    <row r="79" spans="1:10" x14ac:dyDescent="0.3">
      <c r="B79" s="10"/>
      <c r="C79" s="10"/>
      <c r="D79" s="10"/>
      <c r="E79" s="11" t="s">
        <v>32</v>
      </c>
      <c r="F79" s="10"/>
      <c r="G79" s="10"/>
      <c r="H79" s="10"/>
      <c r="I79" s="10"/>
      <c r="J79" s="10"/>
    </row>
  </sheetData>
  <mergeCells count="1">
    <mergeCell ref="B76:J78"/>
  </mergeCells>
  <hyperlinks>
    <hyperlink ref="E79" r:id="rId1"/>
    <hyperlink ref="B19" location="'T4'!A1" display="Evolución de algunos indicadores específicos de privación en la dimensión de mantenimiento/ingresos (indicadores de pobreza). 1986-2014"/>
    <hyperlink ref="B73" location="'T31'!A1" display="Indicadores comparados de pobreza, precariedad y desigualdad. C.A. de Euskadi y Estados más representativos de la Unión Europea. 2013/2014"/>
    <hyperlink ref="B71" location="'T30'!A1" display="Evolución comparada de los ingresos medios equivalentes per cápita de las decilas de ingresos 1, 2, 3 y 4 a 10 (ingresos mensuales netos corrientes), con y sin ingresos procedentes del sistema RGI/PCV/AES. 2008-2014"/>
    <hyperlink ref="B69" location="'T29'!A1" display="Ingresos medios equivalentes per cápita por decilas de ingresos (ingresos mensuales netos corrientes)"/>
    <hyperlink ref="B67" location="'T28'!A1" display="Indicadores de desigualdad en la C.A. de Euskadi. 1996-2014"/>
    <hyperlink ref="B65" location="'T27'!A1" display="Evolución de las situaciones de pobreza y de precariedad real por comarca. 2008-2014"/>
    <hyperlink ref="B63" location="'T26'!A1" display="Evolución de las situaciones de pobreza y de precariedad real por Territorio Histórico. 2008-2014"/>
    <hyperlink ref="B61" location="'T25'!A1" display="Evolución de las situaciones de pobreza y de precariedad real por tipo sociodemográfico del hogar o de su persona principal. 2008-2014"/>
    <hyperlink ref="B59" location="'T24'!A1" display="Evolución de las situaciones de pobreza y de precariedad real por situación del hogar en relación con la actividad, la ocupación y el paro. 2008-2014"/>
    <hyperlink ref="B57" location="'T23'!A1" display="Evolución de las situaciones de pobreza y de precariedad real por nivel de estudios de la persona principal. 2008-2014"/>
    <hyperlink ref="B55" location="'T22'!A1" display="Evolución de las situaciones de pobreza y de precariedad por nacionalidad. 2008-2014"/>
    <hyperlink ref="B53" location="'T21'!A1" display="Evolución de las situaciones de pobreza y de precariedad real por nacionalidad de la persona principal. 2008-2014"/>
    <hyperlink ref="B51" location="'T20'!A1" display="Evolución de las situaciones de pobreza y de precariedad real por edad. 2008-2014"/>
    <hyperlink ref="B49" location="'T19'!A1" display="Evolución de las situaciones de pobreza y de precariedad real por edad de la persona principal. 2008-2014"/>
    <hyperlink ref="B47" location="'T18'!A1" display="Evolución de las situaciones de pobreza y de precariedad real por sexo. 2008-2014"/>
    <hyperlink ref="B45" location="'T17'!A1" display="Evolución de las situaciones de pobreza y de precariedad real por sexo de la persona principal. 2008-2014"/>
    <hyperlink ref="B43" location="'T16'!A1" display="Evolución de las situaciones de pobreza y de precariedad real por edad (población menor o mayor de 14 años). 2008-2014"/>
    <hyperlink ref="B41" location="'T15'!A1" display="Evolución de las situaciones de pobreza y de precariedad real por presencia de menores de 14 años en el hogar. 2008-2014"/>
    <hyperlink ref="B39" location="'T14'!A1" display="Evolución de las situaciones de pobreza y de precariedad real por tipo de grupo familiar. 2008-2014"/>
    <hyperlink ref="B37" location="'T13'!A1" display="Distribución de los ingresos de la población por tipo y posición en la escala pobreza/bienestar real. Datos mensualizados medios netos. 2014"/>
    <hyperlink ref="B35" location="'T12'!A1" display="Indicadores relativos al impacto del sistema RGI/PCV/AES en la prevención de la pobreza real. Población en riesgo de pobreza. 2008 a 2014"/>
    <hyperlink ref="B33" location="'T11'!A1" display="Indicadores de pobreza real. Percepción subjetiva. 1986-2014"/>
    <hyperlink ref="B31" location="'T10'!A1" display="Evolución de las situaciones en la escala pobreza/bienestar real. Indicadores EPDS (aproximación 2012). 1996-2014"/>
    <hyperlink ref="B29" location="'T9'!A1" display="Evolución de algunos indicadores específicos de privación en la dimensión de acumulación (patrimonio y condiciones de vida). 1986-2014"/>
    <hyperlink ref="B27" location="'T8'!A1" display="Indicadores EPDS de riesgo de pobreza y ausencia de bienestar en la dimensión de acumulación (aproximación 2012). 1996-2014"/>
    <hyperlink ref="B25" location="'T7'!A1" display="Índices estadísticos asociados al impacto de las situaciones de ausencia de bienestar (mantenimiento). Método EPDS. 1986-2014"/>
    <hyperlink ref="B23" location="'T6'!A1" display="Índices estadísticos asociados al impacto de la pobreza (mantenimiento). Método EPDS. 1986-2014"/>
    <hyperlink ref="B21" location="'T5'!A1" display="Evolución de algunos indicadores específicos de privación en la dimensión de mantenimiento/ingresos (indicadores de ausencia de bienestar y de endeudamiento). 1996-2014"/>
    <hyperlink ref="B17" location="'T3'!A1" display="Evolución del riesgo de pobreza y de ausencia de bienestar. Indicadores EPDS. 1986-2014"/>
    <hyperlink ref="B13" location="'T1'!A1" display="Evolución del riesgo de pobreza y de ausencia de bienestar. Indicadores Eurostat. 1986-2014"/>
    <hyperlink ref="B15" location="'T2'!A1" display="Evolución de los indicadores de riesgo de pobreza y exclusión. Indicadores AROPE. 2000-2014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zoomScale="80" zoomScaleNormal="80" workbookViewId="0">
      <selection sqref="A1:L1"/>
    </sheetView>
  </sheetViews>
  <sheetFormatPr baseColWidth="10" defaultColWidth="9.109375" defaultRowHeight="14.4" x14ac:dyDescent="0.3"/>
  <cols>
    <col min="1" max="1" width="45.88671875" customWidth="1"/>
    <col min="2" max="12" width="10.33203125" customWidth="1"/>
  </cols>
  <sheetData>
    <row r="1" spans="1:12" ht="57" customHeight="1" thickBot="1" x14ac:dyDescent="0.35">
      <c r="A1" s="551" t="s">
        <v>55</v>
      </c>
      <c r="B1" s="551"/>
      <c r="C1" s="551"/>
      <c r="D1" s="551"/>
      <c r="E1" s="551"/>
      <c r="F1" s="551"/>
      <c r="G1" s="551"/>
      <c r="H1" s="551"/>
      <c r="I1" s="551"/>
      <c r="J1" s="551"/>
      <c r="K1" s="551"/>
      <c r="L1" s="551"/>
    </row>
    <row r="2" spans="1:12" ht="25.5" customHeight="1" thickTop="1" thickBot="1" x14ac:dyDescent="0.35">
      <c r="A2" s="13" t="s">
        <v>56</v>
      </c>
      <c r="B2" s="12" t="s">
        <v>57</v>
      </c>
      <c r="C2" s="12" t="s">
        <v>58</v>
      </c>
      <c r="D2" s="12" t="s">
        <v>59</v>
      </c>
      <c r="E2" s="12" t="s">
        <v>60</v>
      </c>
      <c r="F2" s="12" t="s">
        <v>61</v>
      </c>
      <c r="G2" s="12" t="s">
        <v>62</v>
      </c>
      <c r="H2" s="12" t="s">
        <v>63</v>
      </c>
      <c r="I2" s="12" t="s">
        <v>64</v>
      </c>
      <c r="J2" s="12" t="s">
        <v>65</v>
      </c>
      <c r="K2" s="376" t="s">
        <v>69</v>
      </c>
      <c r="L2" s="377" t="s">
        <v>70</v>
      </c>
    </row>
    <row r="3" spans="1:12" ht="25.5" customHeight="1" thickTop="1" x14ac:dyDescent="0.3">
      <c r="A3" s="375" t="s">
        <v>66</v>
      </c>
      <c r="B3" s="14">
        <v>296265.50505507714</v>
      </c>
      <c r="C3" s="14">
        <v>348546.77415509627</v>
      </c>
      <c r="D3" s="14">
        <v>354066.2743044204</v>
      </c>
      <c r="E3" s="14">
        <v>343459.31817669747</v>
      </c>
      <c r="F3" s="14">
        <v>318161.36843090074</v>
      </c>
      <c r="G3" s="14">
        <v>333986.26226073143</v>
      </c>
      <c r="H3" s="14">
        <v>399642.65744016547</v>
      </c>
      <c r="I3" s="14">
        <v>350667.91375594499</v>
      </c>
      <c r="J3" s="14">
        <v>382316.36415913695</v>
      </c>
      <c r="K3" s="69">
        <f>((J3-I3)/I3)*100</f>
        <v>9.0251914023757518</v>
      </c>
      <c r="L3" s="92">
        <f>((J3-F3)/F3)*100</f>
        <v>20.16429462968242</v>
      </c>
    </row>
    <row r="4" spans="1:12" ht="25.5" customHeight="1" thickBot="1" x14ac:dyDescent="0.35">
      <c r="A4" s="16" t="s">
        <v>67</v>
      </c>
      <c r="B4" s="15">
        <v>69577.682922335007</v>
      </c>
      <c r="C4" s="15">
        <v>79642.685446731892</v>
      </c>
      <c r="D4" s="15">
        <v>98938.24516819886</v>
      </c>
      <c r="E4" s="15">
        <v>77428.474144705804</v>
      </c>
      <c r="F4" s="15">
        <v>66539.710690052074</v>
      </c>
      <c r="G4" s="15">
        <v>75165.827557210505</v>
      </c>
      <c r="H4" s="15">
        <v>104941.9851894108</v>
      </c>
      <c r="I4" s="15">
        <v>104176.8951277551</v>
      </c>
      <c r="J4" s="15">
        <v>109735.34632414739</v>
      </c>
      <c r="K4" s="71">
        <f>((J4-I4)/I4)*100</f>
        <v>5.3355892298151266</v>
      </c>
      <c r="L4" s="91">
        <f>((J4-F4)/F4)*100</f>
        <v>64.917077615958476</v>
      </c>
    </row>
    <row r="5" spans="1:12" ht="15.75" customHeight="1" thickTop="1" thickBot="1" x14ac:dyDescent="0.35">
      <c r="A5" s="551" t="s">
        <v>68</v>
      </c>
      <c r="B5" s="551"/>
      <c r="C5" s="551"/>
      <c r="D5" s="551"/>
      <c r="E5" s="551"/>
      <c r="F5" s="551"/>
      <c r="G5" s="551"/>
      <c r="H5" s="551"/>
      <c r="I5" s="551"/>
      <c r="J5" s="551"/>
      <c r="K5" s="551"/>
      <c r="L5" s="551"/>
    </row>
    <row r="6" spans="1:12" ht="25.5" customHeight="1" thickTop="1" thickBot="1" x14ac:dyDescent="0.35">
      <c r="A6" s="13" t="s">
        <v>56</v>
      </c>
      <c r="B6" s="12" t="s">
        <v>57</v>
      </c>
      <c r="C6" s="12" t="s">
        <v>58</v>
      </c>
      <c r="D6" s="12" t="s">
        <v>59</v>
      </c>
      <c r="E6" s="12" t="s">
        <v>60</v>
      </c>
      <c r="F6" s="12" t="s">
        <v>61</v>
      </c>
      <c r="G6" s="12" t="s">
        <v>62</v>
      </c>
      <c r="H6" s="12" t="s">
        <v>63</v>
      </c>
      <c r="I6" s="12" t="s">
        <v>64</v>
      </c>
      <c r="J6" s="12" t="s">
        <v>65</v>
      </c>
      <c r="K6" s="376" t="s">
        <v>69</v>
      </c>
      <c r="L6" s="377" t="s">
        <v>70</v>
      </c>
    </row>
    <row r="7" spans="1:12" ht="25.5" customHeight="1" thickTop="1" x14ac:dyDescent="0.3">
      <c r="A7" s="375" t="s">
        <v>66</v>
      </c>
      <c r="B7" s="17">
        <v>13.91380846171816</v>
      </c>
      <c r="C7" s="17">
        <v>16.428663959699868</v>
      </c>
      <c r="D7" s="17">
        <v>17.101345858715845</v>
      </c>
      <c r="E7" s="17">
        <v>16.479341551466938</v>
      </c>
      <c r="F7" s="17">
        <v>14.785928587652291</v>
      </c>
      <c r="G7" s="17">
        <v>15.382181258585526</v>
      </c>
      <c r="H7" s="17">
        <v>18.518019269183821</v>
      </c>
      <c r="I7" s="17">
        <v>16.366930874015377</v>
      </c>
      <c r="J7" s="17">
        <v>17.708128961399691</v>
      </c>
      <c r="K7" s="69">
        <f>J7-I7</f>
        <v>1.3411980873843135</v>
      </c>
      <c r="L7" s="92">
        <f>J7-F7</f>
        <v>2.9222003737473994</v>
      </c>
    </row>
    <row r="8" spans="1:12" ht="25.5" customHeight="1" thickBot="1" x14ac:dyDescent="0.35">
      <c r="A8" s="16" t="s">
        <v>67</v>
      </c>
      <c r="B8" s="18">
        <v>3.2676451928197161</v>
      </c>
      <c r="C8" s="18">
        <v>3.7539378157326331</v>
      </c>
      <c r="D8" s="18">
        <v>4.7787018195950983</v>
      </c>
      <c r="E8" s="18">
        <v>3.7150550406179184</v>
      </c>
      <c r="F8" s="18">
        <v>3.0923031773413734</v>
      </c>
      <c r="G8" s="18">
        <v>3.4618621020824456</v>
      </c>
      <c r="H8" s="18">
        <v>4.8626383287796688</v>
      </c>
      <c r="I8" s="18">
        <v>4.8623098217425964</v>
      </c>
      <c r="J8" s="18">
        <v>5.0827216580324324</v>
      </c>
      <c r="K8" s="71">
        <f>J8-I8</f>
        <v>0.22041183628983596</v>
      </c>
      <c r="L8" s="91">
        <f>J8-F8</f>
        <v>1.990418480691059</v>
      </c>
    </row>
    <row r="9" spans="1:12" ht="47.25" customHeight="1" thickTop="1" x14ac:dyDescent="0.3">
      <c r="A9" s="552" t="s">
        <v>393</v>
      </c>
      <c r="B9" s="552"/>
      <c r="C9" s="552"/>
      <c r="D9" s="552"/>
      <c r="E9" s="552"/>
      <c r="F9" s="552"/>
      <c r="G9" s="552"/>
      <c r="H9" s="552"/>
      <c r="I9" s="552"/>
      <c r="J9" s="552"/>
      <c r="K9" s="552"/>
      <c r="L9" s="552"/>
    </row>
  </sheetData>
  <mergeCells count="3">
    <mergeCell ref="A1:L1"/>
    <mergeCell ref="A5:L5"/>
    <mergeCell ref="A9:L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zoomScale="90" zoomScaleNormal="90" workbookViewId="0">
      <selection activeCell="A15" sqref="A15"/>
    </sheetView>
  </sheetViews>
  <sheetFormatPr baseColWidth="10" defaultColWidth="9.109375" defaultRowHeight="14.4" x14ac:dyDescent="0.3"/>
  <cols>
    <col min="1" max="1" width="32.33203125" customWidth="1"/>
    <col min="2" max="10" width="12.33203125" customWidth="1"/>
  </cols>
  <sheetData>
    <row r="1" spans="1:10" ht="57" customHeight="1" thickBot="1" x14ac:dyDescent="0.35">
      <c r="A1" s="553" t="s">
        <v>411</v>
      </c>
      <c r="B1" s="554"/>
      <c r="C1" s="554"/>
      <c r="D1" s="554"/>
      <c r="E1" s="554"/>
      <c r="F1" s="554"/>
      <c r="G1" s="554"/>
      <c r="H1" s="554"/>
      <c r="I1" s="554"/>
      <c r="J1" s="554"/>
    </row>
    <row r="2" spans="1:10" ht="23.25" customHeight="1" thickTop="1" thickBot="1" x14ac:dyDescent="0.35">
      <c r="A2" s="19" t="s">
        <v>56</v>
      </c>
      <c r="B2" s="20" t="s">
        <v>59</v>
      </c>
      <c r="C2" s="20" t="s">
        <v>60</v>
      </c>
      <c r="D2" s="20" t="s">
        <v>61</v>
      </c>
      <c r="E2" s="20" t="s">
        <v>62</v>
      </c>
      <c r="F2" s="20" t="s">
        <v>63</v>
      </c>
      <c r="G2" s="20" t="s">
        <v>64</v>
      </c>
      <c r="H2" s="20" t="s">
        <v>65</v>
      </c>
      <c r="I2" s="376" t="s">
        <v>69</v>
      </c>
      <c r="J2" s="377" t="s">
        <v>70</v>
      </c>
    </row>
    <row r="3" spans="1:10" ht="18" customHeight="1" thickTop="1" x14ac:dyDescent="0.3">
      <c r="A3" s="29" t="s">
        <v>71</v>
      </c>
      <c r="B3" s="21">
        <v>121331.17542014641</v>
      </c>
      <c r="C3" s="21">
        <v>118850.91776719125</v>
      </c>
      <c r="D3" s="21">
        <v>103993.77198985145</v>
      </c>
      <c r="E3" s="21">
        <v>179079.38461483349</v>
      </c>
      <c r="F3" s="21">
        <v>217062.38102688894</v>
      </c>
      <c r="G3" s="21">
        <v>181795.6580917309</v>
      </c>
      <c r="H3" s="21">
        <v>161631.70066284764</v>
      </c>
      <c r="I3" s="92">
        <f>((H3-G3)/G3)*100</f>
        <v>-11.091550612671336</v>
      </c>
      <c r="J3" s="92">
        <f>((H3-D3)/D3)*100</f>
        <v>55.424404337041423</v>
      </c>
    </row>
    <row r="4" spans="1:10" ht="18" customHeight="1" x14ac:dyDescent="0.3">
      <c r="A4" s="30" t="s">
        <v>72</v>
      </c>
      <c r="B4" s="22">
        <v>354066.2743044204</v>
      </c>
      <c r="C4" s="22">
        <v>343459.31817669747</v>
      </c>
      <c r="D4" s="22">
        <v>318161.36843090074</v>
      </c>
      <c r="E4" s="22">
        <v>333986.26226073143</v>
      </c>
      <c r="F4" s="22">
        <v>399642.65744016547</v>
      </c>
      <c r="G4" s="22">
        <v>350667.91375594499</v>
      </c>
      <c r="H4" s="22">
        <v>382316.36415913695</v>
      </c>
      <c r="I4" s="92">
        <f>((H4-G4)/G4)*100</f>
        <v>9.0251914023757518</v>
      </c>
      <c r="J4" s="92">
        <f>((H4-D4)/D4)*100</f>
        <v>20.16429462968242</v>
      </c>
    </row>
    <row r="5" spans="1:10" ht="18" customHeight="1" thickBot="1" x14ac:dyDescent="0.35">
      <c r="A5" s="30" t="s">
        <v>73</v>
      </c>
      <c r="B5" s="22">
        <v>41663.105736673475</v>
      </c>
      <c r="C5" s="22">
        <v>74555.918972123953</v>
      </c>
      <c r="D5" s="22">
        <v>58487.403821727625</v>
      </c>
      <c r="E5" s="22">
        <v>125549.41569995113</v>
      </c>
      <c r="F5" s="22">
        <v>112855.96654686917</v>
      </c>
      <c r="G5" s="22">
        <v>136764.81549599467</v>
      </c>
      <c r="H5" s="22">
        <v>119885.18766141581</v>
      </c>
      <c r="I5" s="93">
        <f t="shared" ref="I5:I6" si="0">((H5-G5)/G5)*100</f>
        <v>-12.342083578559867</v>
      </c>
      <c r="J5" s="93">
        <f t="shared" ref="J5:J6" si="1">((H5-D5)/D5)*100</f>
        <v>104.97608002371166</v>
      </c>
    </row>
    <row r="6" spans="1:10" ht="18" customHeight="1" thickBot="1" x14ac:dyDescent="0.35">
      <c r="A6" s="31" t="s">
        <v>74</v>
      </c>
      <c r="B6" s="23">
        <v>411210.31851183117</v>
      </c>
      <c r="C6" s="23">
        <v>407799.72529690509</v>
      </c>
      <c r="D6" s="23">
        <v>385087.14142150717</v>
      </c>
      <c r="E6" s="23">
        <v>432655.02926086163</v>
      </c>
      <c r="F6" s="23">
        <v>489446.62743807887</v>
      </c>
      <c r="G6" s="23">
        <v>440823.38999565586</v>
      </c>
      <c r="H6" s="24">
        <v>446694.99371373677</v>
      </c>
      <c r="I6" s="94">
        <f t="shared" si="0"/>
        <v>1.3319628339455329</v>
      </c>
      <c r="J6" s="72">
        <f t="shared" si="1"/>
        <v>15.9984184527198</v>
      </c>
    </row>
    <row r="7" spans="1:10" ht="17.100000000000001" customHeight="1" thickTop="1" thickBot="1" x14ac:dyDescent="0.35">
      <c r="A7" s="554" t="s">
        <v>68</v>
      </c>
      <c r="B7" s="554"/>
      <c r="C7" s="554"/>
      <c r="D7" s="554"/>
      <c r="E7" s="554"/>
      <c r="F7" s="554"/>
      <c r="G7" s="554"/>
      <c r="H7" s="554"/>
      <c r="I7" s="554"/>
      <c r="J7" s="554"/>
    </row>
    <row r="8" spans="1:10" ht="24" customHeight="1" thickTop="1" thickBot="1" x14ac:dyDescent="0.35">
      <c r="A8" s="19" t="s">
        <v>56</v>
      </c>
      <c r="B8" s="20" t="s">
        <v>59</v>
      </c>
      <c r="C8" s="20" t="s">
        <v>60</v>
      </c>
      <c r="D8" s="20" t="s">
        <v>61</v>
      </c>
      <c r="E8" s="20" t="s">
        <v>62</v>
      </c>
      <c r="F8" s="20" t="s">
        <v>63</v>
      </c>
      <c r="G8" s="20" t="s">
        <v>64</v>
      </c>
      <c r="H8" s="20" t="s">
        <v>65</v>
      </c>
      <c r="I8" s="376" t="s">
        <v>69</v>
      </c>
      <c r="J8" s="377" t="s">
        <v>70</v>
      </c>
    </row>
    <row r="9" spans="1:10" ht="18" customHeight="1" thickTop="1" x14ac:dyDescent="0.3">
      <c r="A9" s="29" t="s">
        <v>71</v>
      </c>
      <c r="B9" s="25">
        <v>6.6357403786396834</v>
      </c>
      <c r="C9" s="25">
        <v>6.4270699703828562</v>
      </c>
      <c r="D9" s="25">
        <v>5.6213013492164254</v>
      </c>
      <c r="E9" s="25">
        <v>9.8946682119881952</v>
      </c>
      <c r="F9" s="25">
        <v>11.95897722153447</v>
      </c>
      <c r="G9" s="25">
        <v>10.196414255831606</v>
      </c>
      <c r="H9" s="25">
        <v>9.0635384960129528</v>
      </c>
      <c r="I9" s="92">
        <f>H9-G9</f>
        <v>-1.1328757598186527</v>
      </c>
      <c r="J9" s="92">
        <f>H9-D9</f>
        <v>3.4422371467965274</v>
      </c>
    </row>
    <row r="10" spans="1:10" ht="18" customHeight="1" x14ac:dyDescent="0.3">
      <c r="A10" s="30" t="s">
        <v>72</v>
      </c>
      <c r="B10" s="26">
        <v>17.101345858715845</v>
      </c>
      <c r="C10" s="26">
        <v>16.479341551466938</v>
      </c>
      <c r="D10" s="26">
        <v>14.785928587652291</v>
      </c>
      <c r="E10" s="26">
        <v>15.382181258585526</v>
      </c>
      <c r="F10" s="26">
        <v>18.518019269183821</v>
      </c>
      <c r="G10" s="26">
        <v>16.366930874015377</v>
      </c>
      <c r="H10" s="26">
        <v>17.708128961399691</v>
      </c>
      <c r="I10" s="92">
        <f>H10-G10</f>
        <v>1.3411980873843135</v>
      </c>
      <c r="J10" s="92">
        <f>H10-D10</f>
        <v>2.9222003737473994</v>
      </c>
    </row>
    <row r="11" spans="1:10" ht="18" customHeight="1" thickBot="1" x14ac:dyDescent="0.35">
      <c r="A11" s="30" t="s">
        <v>73</v>
      </c>
      <c r="B11" s="26">
        <v>2.0123215128321088</v>
      </c>
      <c r="C11" s="26">
        <v>3.5772284762792079</v>
      </c>
      <c r="D11" s="26">
        <v>2.7180879327059646</v>
      </c>
      <c r="E11" s="26">
        <v>5.7823452262192605</v>
      </c>
      <c r="F11" s="26">
        <v>5.2293440758890499</v>
      </c>
      <c r="G11" s="26">
        <v>6.3833050969649987</v>
      </c>
      <c r="H11" s="26">
        <v>5.5528419986394013</v>
      </c>
      <c r="I11" s="93">
        <f t="shared" ref="I11:I12" si="2">H11-G11</f>
        <v>-0.83046309832559739</v>
      </c>
      <c r="J11" s="93">
        <f t="shared" ref="J11:J12" si="3">H11-D11</f>
        <v>2.8347540659334367</v>
      </c>
    </row>
    <row r="12" spans="1:10" ht="18" customHeight="1" thickBot="1" x14ac:dyDescent="0.35">
      <c r="A12" s="31" t="s">
        <v>74</v>
      </c>
      <c r="B12" s="27">
        <v>19.861394286588585</v>
      </c>
      <c r="C12" s="27">
        <v>19.566424907140707</v>
      </c>
      <c r="D12" s="27">
        <v>17.8961732568679</v>
      </c>
      <c r="E12" s="27">
        <v>19.926502477918554</v>
      </c>
      <c r="F12" s="27">
        <v>22.679215817926991</v>
      </c>
      <c r="G12" s="27">
        <v>20.574810721717199</v>
      </c>
      <c r="H12" s="28">
        <v>20.690018258810191</v>
      </c>
      <c r="I12" s="94">
        <f t="shared" si="2"/>
        <v>0.11520753709299214</v>
      </c>
      <c r="J12" s="72">
        <f t="shared" si="3"/>
        <v>2.7938450019422909</v>
      </c>
    </row>
    <row r="13" spans="1:10" ht="48.75" customHeight="1" thickTop="1" x14ac:dyDescent="0.3">
      <c r="A13" s="555" t="s">
        <v>378</v>
      </c>
      <c r="B13" s="556"/>
      <c r="C13" s="556"/>
      <c r="D13" s="556"/>
      <c r="E13" s="556"/>
      <c r="F13" s="556"/>
      <c r="G13" s="556"/>
      <c r="H13" s="556"/>
      <c r="I13" s="556"/>
      <c r="J13" s="556"/>
    </row>
  </sheetData>
  <mergeCells count="3">
    <mergeCell ref="A1:J1"/>
    <mergeCell ref="A13:J13"/>
    <mergeCell ref="A7:J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zoomScale="90" zoomScaleNormal="90" workbookViewId="0">
      <selection sqref="A1:L1"/>
    </sheetView>
  </sheetViews>
  <sheetFormatPr baseColWidth="10" defaultColWidth="9.109375" defaultRowHeight="14.4" x14ac:dyDescent="0.3"/>
  <cols>
    <col min="1" max="1" width="26.6640625" customWidth="1"/>
    <col min="2" max="12" width="11" customWidth="1"/>
  </cols>
  <sheetData>
    <row r="1" spans="1:12" ht="57" customHeight="1" thickBot="1" x14ac:dyDescent="0.35">
      <c r="A1" s="559" t="s">
        <v>75</v>
      </c>
      <c r="B1" s="559"/>
      <c r="C1" s="559"/>
      <c r="D1" s="559"/>
      <c r="E1" s="559"/>
      <c r="F1" s="559"/>
      <c r="G1" s="559"/>
      <c r="H1" s="559"/>
      <c r="I1" s="559"/>
      <c r="J1" s="559"/>
      <c r="K1" s="559"/>
      <c r="L1" s="559"/>
    </row>
    <row r="2" spans="1:12" ht="23.25" customHeight="1" thickTop="1" thickBot="1" x14ac:dyDescent="0.35">
      <c r="A2" s="32" t="s">
        <v>56</v>
      </c>
      <c r="B2" s="33" t="s">
        <v>57</v>
      </c>
      <c r="C2" s="33" t="s">
        <v>58</v>
      </c>
      <c r="D2" s="33" t="s">
        <v>59</v>
      </c>
      <c r="E2" s="33" t="s">
        <v>60</v>
      </c>
      <c r="F2" s="33" t="s">
        <v>61</v>
      </c>
      <c r="G2" s="33" t="s">
        <v>62</v>
      </c>
      <c r="H2" s="33" t="s">
        <v>63</v>
      </c>
      <c r="I2" s="33" t="s">
        <v>64</v>
      </c>
      <c r="J2" s="33" t="s">
        <v>65</v>
      </c>
      <c r="K2" s="376" t="s">
        <v>69</v>
      </c>
      <c r="L2" s="377" t="s">
        <v>70</v>
      </c>
    </row>
    <row r="3" spans="1:12" ht="19.5" customHeight="1" thickTop="1" x14ac:dyDescent="0.3">
      <c r="A3" s="375" t="s">
        <v>76</v>
      </c>
      <c r="B3" s="14">
        <v>1263503.6021076776</v>
      </c>
      <c r="C3" s="14">
        <v>769433.03502994718</v>
      </c>
      <c r="D3" s="14">
        <v>512359.12360175914</v>
      </c>
      <c r="E3" s="14">
        <v>455702.51886040624</v>
      </c>
      <c r="F3" s="14">
        <v>352549.710512291</v>
      </c>
      <c r="G3" s="14">
        <v>432935.88566607109</v>
      </c>
      <c r="H3" s="14">
        <v>473260.33244557271</v>
      </c>
      <c r="I3" s="14">
        <v>394266.44401735079</v>
      </c>
      <c r="J3" s="14">
        <v>484571.48338607053</v>
      </c>
      <c r="K3" s="89">
        <f>((J3-I3)/I3)*100</f>
        <v>22.904571448831089</v>
      </c>
      <c r="L3" s="90">
        <f>((J3-F3)/F3)*100</f>
        <v>37.447704234939891</v>
      </c>
    </row>
    <row r="4" spans="1:12" ht="19.5" customHeight="1" thickBot="1" x14ac:dyDescent="0.35">
      <c r="A4" s="16" t="s">
        <v>77</v>
      </c>
      <c r="B4" s="15">
        <v>248660.60646062516</v>
      </c>
      <c r="C4" s="15">
        <v>282495.33245953597</v>
      </c>
      <c r="D4" s="15">
        <v>163083.97114772158</v>
      </c>
      <c r="E4" s="15">
        <v>116498.73553588844</v>
      </c>
      <c r="F4" s="15">
        <v>121874.98607006091</v>
      </c>
      <c r="G4" s="15">
        <v>157685.96163671007</v>
      </c>
      <c r="H4" s="15">
        <v>176531.53083887408</v>
      </c>
      <c r="I4" s="15">
        <v>151111.74266041894</v>
      </c>
      <c r="J4" s="15">
        <v>172306.93818119797</v>
      </c>
      <c r="K4" s="71">
        <f>((J4-I4)/I4)*100</f>
        <v>14.0261737093518</v>
      </c>
      <c r="L4" s="91">
        <f>((J4-F4)/F4)*100</f>
        <v>41.380068000291544</v>
      </c>
    </row>
    <row r="5" spans="1:12" ht="19.5" customHeight="1" thickTop="1" thickBot="1" x14ac:dyDescent="0.35">
      <c r="A5" s="559" t="s">
        <v>68</v>
      </c>
      <c r="B5" s="559"/>
      <c r="C5" s="559"/>
      <c r="D5" s="559"/>
      <c r="E5" s="559"/>
      <c r="F5" s="559"/>
      <c r="G5" s="559"/>
      <c r="H5" s="559"/>
      <c r="I5" s="559"/>
      <c r="J5" s="559"/>
      <c r="K5" s="559"/>
      <c r="L5" s="559"/>
    </row>
    <row r="6" spans="1:12" ht="23.25" customHeight="1" thickTop="1" thickBot="1" x14ac:dyDescent="0.35">
      <c r="A6" s="32" t="s">
        <v>56</v>
      </c>
      <c r="B6" s="33" t="s">
        <v>57</v>
      </c>
      <c r="C6" s="33" t="s">
        <v>58</v>
      </c>
      <c r="D6" s="33" t="s">
        <v>59</v>
      </c>
      <c r="E6" s="33" t="s">
        <v>60</v>
      </c>
      <c r="F6" s="33" t="s">
        <v>61</v>
      </c>
      <c r="G6" s="33" t="s">
        <v>62</v>
      </c>
      <c r="H6" s="33" t="s">
        <v>63</v>
      </c>
      <c r="I6" s="33" t="s">
        <v>64</v>
      </c>
      <c r="J6" s="33" t="s">
        <v>65</v>
      </c>
      <c r="K6" s="376" t="s">
        <v>69</v>
      </c>
      <c r="L6" s="377" t="s">
        <v>70</v>
      </c>
    </row>
    <row r="7" spans="1:12" ht="19.5" customHeight="1" thickTop="1" x14ac:dyDescent="0.3">
      <c r="A7" s="375" t="s">
        <v>76</v>
      </c>
      <c r="B7" s="17">
        <v>59.339163049538925</v>
      </c>
      <c r="C7" s="17">
        <v>36.267031312055906</v>
      </c>
      <c r="D7" s="17">
        <v>24.746865805831575</v>
      </c>
      <c r="E7" s="17">
        <v>21.864823741078322</v>
      </c>
      <c r="F7" s="17">
        <v>16.384059664252916</v>
      </c>
      <c r="G7" s="17">
        <v>19.939437692987934</v>
      </c>
      <c r="H7" s="17">
        <v>21.929200480505681</v>
      </c>
      <c r="I7" s="17">
        <v>18.401830854895078</v>
      </c>
      <c r="J7" s="17">
        <v>22.444381468446789</v>
      </c>
      <c r="K7" s="89">
        <f>J7-I7</f>
        <v>4.0425506135517111</v>
      </c>
      <c r="L7" s="90">
        <f>J7-F7</f>
        <v>6.0603218041938725</v>
      </c>
    </row>
    <row r="8" spans="1:12" ht="19.5" customHeight="1" thickBot="1" x14ac:dyDescent="0.35">
      <c r="A8" s="16" t="s">
        <v>77</v>
      </c>
      <c r="B8" s="18">
        <v>11.678092762181771</v>
      </c>
      <c r="C8" s="18">
        <v>13.315345977341453</v>
      </c>
      <c r="D8" s="18">
        <v>7.8769303856716117</v>
      </c>
      <c r="E8" s="18">
        <v>5.5896647771898333</v>
      </c>
      <c r="F8" s="18">
        <v>5.6639020932687911</v>
      </c>
      <c r="G8" s="18">
        <v>7.2624365667372821</v>
      </c>
      <c r="H8" s="18">
        <v>8.1798432395376111</v>
      </c>
      <c r="I8" s="18">
        <v>7.0529277112487119</v>
      </c>
      <c r="J8" s="18">
        <v>7.9809125852288147</v>
      </c>
      <c r="K8" s="71">
        <f>J8-I8</f>
        <v>0.92798487398010288</v>
      </c>
      <c r="L8" s="91">
        <f>J8-F8</f>
        <v>2.3170104919600236</v>
      </c>
    </row>
    <row r="9" spans="1:12" ht="50.25" customHeight="1" thickTop="1" x14ac:dyDescent="0.3">
      <c r="A9" s="557" t="s">
        <v>384</v>
      </c>
      <c r="B9" s="558"/>
      <c r="C9" s="558"/>
      <c r="D9" s="558"/>
      <c r="E9" s="558"/>
      <c r="F9" s="558"/>
      <c r="G9" s="558"/>
      <c r="H9" s="558"/>
      <c r="I9" s="558"/>
      <c r="J9" s="558"/>
      <c r="K9" s="558"/>
      <c r="L9" s="558"/>
    </row>
  </sheetData>
  <mergeCells count="3">
    <mergeCell ref="A9:L9"/>
    <mergeCell ref="A1:L1"/>
    <mergeCell ref="A5:L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zoomScaleNormal="100" workbookViewId="0">
      <selection sqref="A1:L1"/>
    </sheetView>
  </sheetViews>
  <sheetFormatPr baseColWidth="10" defaultColWidth="9.109375" defaultRowHeight="14.4" x14ac:dyDescent="0.3"/>
  <cols>
    <col min="1" max="1" width="44.44140625" customWidth="1"/>
    <col min="2" max="10" width="7.88671875" customWidth="1"/>
  </cols>
  <sheetData>
    <row r="1" spans="1:12" ht="62.25" customHeight="1" thickBot="1" x14ac:dyDescent="0.35">
      <c r="A1" s="560" t="s">
        <v>412</v>
      </c>
      <c r="B1" s="561"/>
      <c r="C1" s="561"/>
      <c r="D1" s="561"/>
      <c r="E1" s="561"/>
      <c r="F1" s="561"/>
      <c r="G1" s="561"/>
      <c r="H1" s="561"/>
      <c r="I1" s="561"/>
      <c r="J1" s="561"/>
      <c r="K1" s="561"/>
      <c r="L1" s="561"/>
    </row>
    <row r="2" spans="1:12" ht="25.5" customHeight="1" thickTop="1" thickBot="1" x14ac:dyDescent="0.35">
      <c r="A2" s="34" t="s">
        <v>56</v>
      </c>
      <c r="B2" s="35" t="s">
        <v>57</v>
      </c>
      <c r="C2" s="35" t="s">
        <v>58</v>
      </c>
      <c r="D2" s="35" t="s">
        <v>59</v>
      </c>
      <c r="E2" s="35" t="s">
        <v>60</v>
      </c>
      <c r="F2" s="35" t="s">
        <v>61</v>
      </c>
      <c r="G2" s="35" t="s">
        <v>62</v>
      </c>
      <c r="H2" s="35" t="s">
        <v>63</v>
      </c>
      <c r="I2" s="35" t="s">
        <v>64</v>
      </c>
      <c r="J2" s="35" t="s">
        <v>65</v>
      </c>
      <c r="K2" s="376" t="s">
        <v>69</v>
      </c>
      <c r="L2" s="377" t="s">
        <v>70</v>
      </c>
    </row>
    <row r="3" spans="1:12" s="36" customFormat="1" ht="15" thickTop="1" x14ac:dyDescent="0.3">
      <c r="A3" s="42" t="s">
        <v>78</v>
      </c>
      <c r="B3" s="50">
        <v>612755.67181465682</v>
      </c>
      <c r="C3" s="50">
        <v>148234.43863948903</v>
      </c>
      <c r="D3" s="50">
        <v>130717.42390343192</v>
      </c>
      <c r="E3" s="50">
        <v>190353.17666248517</v>
      </c>
      <c r="F3" s="50">
        <v>174144.99263566494</v>
      </c>
      <c r="G3" s="50">
        <v>362988.84929289133</v>
      </c>
      <c r="H3" s="50">
        <v>275901.31270646345</v>
      </c>
      <c r="I3" s="50">
        <v>353212.07640562643</v>
      </c>
      <c r="J3" s="50">
        <v>252161.8416848513</v>
      </c>
      <c r="K3" s="51">
        <f>((J3-I3)/I3)*100</f>
        <v>-28.608941050115654</v>
      </c>
      <c r="L3" s="52">
        <f>((J3-F3)/F3)*100</f>
        <v>44.79993818278097</v>
      </c>
    </row>
    <row r="4" spans="1:12" s="36" customFormat="1" x14ac:dyDescent="0.3">
      <c r="A4" s="43" t="s">
        <v>79</v>
      </c>
      <c r="B4" s="39"/>
      <c r="C4" s="39">
        <v>77352.146277960826</v>
      </c>
      <c r="D4" s="39">
        <v>142623.61490435072</v>
      </c>
      <c r="E4" s="39">
        <v>113541.23249432311</v>
      </c>
      <c r="F4" s="39">
        <v>66241.247095661703</v>
      </c>
      <c r="G4" s="39">
        <v>124607.88390045121</v>
      </c>
      <c r="H4" s="39">
        <v>101775.68027770265</v>
      </c>
      <c r="I4" s="39">
        <v>117260.75993129631</v>
      </c>
      <c r="J4" s="39">
        <v>121658.75016747245</v>
      </c>
      <c r="K4" s="51">
        <f>((J4-I4)/I4)*100</f>
        <v>3.7506069709534033</v>
      </c>
      <c r="L4" s="52">
        <f>((J4-F4)/F4)*100</f>
        <v>83.660114357116584</v>
      </c>
    </row>
    <row r="5" spans="1:12" s="36" customFormat="1" x14ac:dyDescent="0.2">
      <c r="A5" s="44" t="s">
        <v>91</v>
      </c>
      <c r="B5" s="39"/>
      <c r="C5" s="39"/>
      <c r="D5" s="39"/>
      <c r="E5" s="39"/>
      <c r="F5" s="39"/>
      <c r="G5" s="39"/>
      <c r="H5" s="39"/>
      <c r="I5" s="39"/>
      <c r="J5" s="39"/>
      <c r="K5" s="53"/>
      <c r="L5" s="54"/>
    </row>
    <row r="6" spans="1:12" s="36" customFormat="1" x14ac:dyDescent="0.2">
      <c r="A6" s="44" t="s">
        <v>92</v>
      </c>
      <c r="B6" s="39"/>
      <c r="C6" s="39"/>
      <c r="D6" s="39"/>
      <c r="E6" s="39"/>
      <c r="F6" s="39"/>
      <c r="G6" s="39"/>
      <c r="H6" s="39"/>
      <c r="I6" s="39"/>
      <c r="J6" s="39"/>
      <c r="K6" s="53"/>
      <c r="L6" s="54"/>
    </row>
    <row r="7" spans="1:12" s="36" customFormat="1" x14ac:dyDescent="0.3">
      <c r="A7" s="43" t="s">
        <v>80</v>
      </c>
      <c r="B7" s="39"/>
      <c r="C7" s="39"/>
      <c r="D7" s="39">
        <v>49781.700286415078</v>
      </c>
      <c r="E7" s="39">
        <v>52493.415705040512</v>
      </c>
      <c r="F7" s="39">
        <v>75915.001957251312</v>
      </c>
      <c r="G7" s="39">
        <v>100980.11294852232</v>
      </c>
      <c r="H7" s="39">
        <v>99415.45574105077</v>
      </c>
      <c r="I7" s="39">
        <v>77999.237888601565</v>
      </c>
      <c r="J7" s="39">
        <v>46149.14149640395</v>
      </c>
      <c r="K7" s="51">
        <f t="shared" ref="K7:K20" si="0">((J7-I7)/I7)*100</f>
        <v>-40.833855886753526</v>
      </c>
      <c r="L7" s="52">
        <f t="shared" ref="L7:L20" si="1">((J7-F7)/F7)*100</f>
        <v>-39.209457542540655</v>
      </c>
    </row>
    <row r="8" spans="1:12" s="36" customFormat="1" x14ac:dyDescent="0.3">
      <c r="A8" s="43" t="s">
        <v>81</v>
      </c>
      <c r="B8" s="39"/>
      <c r="C8" s="39"/>
      <c r="D8" s="39">
        <v>22369.26325779067</v>
      </c>
      <c r="E8" s="39">
        <v>56373.029771992893</v>
      </c>
      <c r="F8" s="39">
        <v>46084.170341402285</v>
      </c>
      <c r="G8" s="39">
        <v>67143.630226768233</v>
      </c>
      <c r="H8" s="39">
        <v>63395.761616332849</v>
      </c>
      <c r="I8" s="39">
        <v>66545.897956588917</v>
      </c>
      <c r="J8" s="39">
        <v>39110.937504508081</v>
      </c>
      <c r="K8" s="51">
        <f t="shared" si="0"/>
        <v>-41.22712487849811</v>
      </c>
      <c r="L8" s="52">
        <f t="shared" si="1"/>
        <v>-15.131514325276701</v>
      </c>
    </row>
    <row r="9" spans="1:12" s="36" customFormat="1" x14ac:dyDescent="0.3">
      <c r="A9" s="45" t="s">
        <v>93</v>
      </c>
      <c r="B9" s="40"/>
      <c r="C9" s="40"/>
      <c r="D9" s="40">
        <v>17288.858049738046</v>
      </c>
      <c r="E9" s="40">
        <v>26476.70362195807</v>
      </c>
      <c r="F9" s="40">
        <v>21270.815311321003</v>
      </c>
      <c r="G9" s="40">
        <v>46122.011233346588</v>
      </c>
      <c r="H9" s="40">
        <v>25833.955349145639</v>
      </c>
      <c r="I9" s="40">
        <v>36679.649880763282</v>
      </c>
      <c r="J9" s="40">
        <v>25673.865443325532</v>
      </c>
      <c r="K9" s="51">
        <f t="shared" si="0"/>
        <v>-30.00515128474483</v>
      </c>
      <c r="L9" s="52">
        <f t="shared" si="1"/>
        <v>20.699959393004963</v>
      </c>
    </row>
    <row r="10" spans="1:12" s="36" customFormat="1" x14ac:dyDescent="0.3">
      <c r="A10" s="43" t="s">
        <v>82</v>
      </c>
      <c r="B10" s="39"/>
      <c r="C10" s="39"/>
      <c r="D10" s="39">
        <v>72150.963544205748</v>
      </c>
      <c r="E10" s="39">
        <v>108866.44547703341</v>
      </c>
      <c r="F10" s="39">
        <v>121999.1722986536</v>
      </c>
      <c r="G10" s="39">
        <v>168123.74317529055</v>
      </c>
      <c r="H10" s="39">
        <v>162811.21735738363</v>
      </c>
      <c r="I10" s="39">
        <v>144545.1358451905</v>
      </c>
      <c r="J10" s="39">
        <v>85260.079000912025</v>
      </c>
      <c r="K10" s="51">
        <f t="shared" si="0"/>
        <v>-41.014909631945997</v>
      </c>
      <c r="L10" s="52">
        <f t="shared" si="1"/>
        <v>-30.114215207792057</v>
      </c>
    </row>
    <row r="11" spans="1:12" s="36" customFormat="1" x14ac:dyDescent="0.2">
      <c r="A11" s="44" t="s">
        <v>94</v>
      </c>
      <c r="B11" s="55"/>
      <c r="C11" s="55"/>
      <c r="D11" s="55"/>
      <c r="E11" s="55"/>
      <c r="F11" s="55"/>
      <c r="G11" s="55"/>
      <c r="H11" s="55"/>
      <c r="I11" s="55"/>
      <c r="J11" s="55"/>
      <c r="K11" s="56"/>
      <c r="L11" s="54"/>
    </row>
    <row r="12" spans="1:12" s="36" customFormat="1" x14ac:dyDescent="0.3">
      <c r="A12" s="43" t="s">
        <v>83</v>
      </c>
      <c r="B12" s="39"/>
      <c r="C12" s="39"/>
      <c r="D12" s="39">
        <v>0</v>
      </c>
      <c r="E12" s="39">
        <v>70686.866126706474</v>
      </c>
      <c r="F12" s="39">
        <v>49845.184171309185</v>
      </c>
      <c r="G12" s="39">
        <v>78037.846526616268</v>
      </c>
      <c r="H12" s="39">
        <v>66503.129463831268</v>
      </c>
      <c r="I12" s="39">
        <v>72556.227968839274</v>
      </c>
      <c r="J12" s="39">
        <v>50528.920970448948</v>
      </c>
      <c r="K12" s="51">
        <f t="shared" si="0"/>
        <v>-30.358947281342125</v>
      </c>
      <c r="L12" s="52">
        <f t="shared" si="1"/>
        <v>1.3717208803760828</v>
      </c>
    </row>
    <row r="13" spans="1:12" s="36" customFormat="1" x14ac:dyDescent="0.2">
      <c r="A13" s="46" t="s">
        <v>95</v>
      </c>
      <c r="B13" s="39"/>
      <c r="C13" s="39"/>
      <c r="D13" s="39"/>
      <c r="E13" s="39"/>
      <c r="F13" s="39"/>
      <c r="G13" s="39"/>
      <c r="H13" s="39"/>
      <c r="I13" s="39"/>
      <c r="J13" s="39"/>
      <c r="K13" s="53"/>
      <c r="L13" s="54"/>
    </row>
    <row r="14" spans="1:12" s="36" customFormat="1" ht="20.399999999999999" x14ac:dyDescent="0.3">
      <c r="A14" s="43" t="s">
        <v>84</v>
      </c>
      <c r="B14" s="39">
        <v>54802.677666743606</v>
      </c>
      <c r="C14" s="39">
        <v>42948.463680360823</v>
      </c>
      <c r="D14" s="39">
        <v>48606.210116990267</v>
      </c>
      <c r="E14" s="39">
        <v>55768.64531808046</v>
      </c>
      <c r="F14" s="39">
        <v>63411.230555056136</v>
      </c>
      <c r="G14" s="39">
        <v>127588.672451297</v>
      </c>
      <c r="H14" s="39">
        <v>134673.36306933506</v>
      </c>
      <c r="I14" s="39">
        <v>135516.38895338966</v>
      </c>
      <c r="J14" s="39">
        <v>141092.44214984533</v>
      </c>
      <c r="K14" s="51">
        <f t="shared" si="0"/>
        <v>4.1146707343076665</v>
      </c>
      <c r="L14" s="52">
        <f t="shared" si="1"/>
        <v>122.50387023690277</v>
      </c>
    </row>
    <row r="15" spans="1:12" s="36" customFormat="1" x14ac:dyDescent="0.3">
      <c r="A15" s="43" t="s">
        <v>387</v>
      </c>
      <c r="B15" s="39">
        <v>55155.609093841049</v>
      </c>
      <c r="C15" s="39">
        <v>17209.088214209816</v>
      </c>
      <c r="D15" s="39">
        <v>21953.242544398941</v>
      </c>
      <c r="E15" s="39">
        <v>23939.556174667854</v>
      </c>
      <c r="F15" s="39">
        <v>35191.447104779028</v>
      </c>
      <c r="G15" s="39">
        <v>52412.603808792279</v>
      </c>
      <c r="H15" s="39">
        <v>38254.576669605332</v>
      </c>
      <c r="I15" s="39">
        <v>42290.710347707733</v>
      </c>
      <c r="J15" s="39">
        <v>29773.929917859452</v>
      </c>
      <c r="K15" s="51">
        <f t="shared" si="0"/>
        <v>-29.596997371141871</v>
      </c>
      <c r="L15" s="52">
        <f t="shared" si="1"/>
        <v>-15.394414360936789</v>
      </c>
    </row>
    <row r="16" spans="1:12" s="36" customFormat="1" x14ac:dyDescent="0.3">
      <c r="A16" s="43" t="s">
        <v>85</v>
      </c>
      <c r="B16" s="39"/>
      <c r="C16" s="39">
        <v>3801.4713343139983</v>
      </c>
      <c r="D16" s="39">
        <v>12680.438058540714</v>
      </c>
      <c r="E16" s="39">
        <v>7284.4337761338556</v>
      </c>
      <c r="F16" s="39">
        <v>7129.6488468332518</v>
      </c>
      <c r="G16" s="39">
        <v>17270.024014545252</v>
      </c>
      <c r="H16" s="39">
        <v>10678.808462109189</v>
      </c>
      <c r="I16" s="39">
        <v>17207.984784363809</v>
      </c>
      <c r="J16" s="39">
        <v>19966.37532308896</v>
      </c>
      <c r="K16" s="51">
        <f t="shared" si="0"/>
        <v>16.029712794908949</v>
      </c>
      <c r="L16" s="52">
        <f t="shared" si="1"/>
        <v>180.04710683552594</v>
      </c>
    </row>
    <row r="17" spans="1:12" s="36" customFormat="1" x14ac:dyDescent="0.3">
      <c r="A17" s="43" t="s">
        <v>86</v>
      </c>
      <c r="B17" s="39">
        <v>72906.07398141938</v>
      </c>
      <c r="C17" s="39">
        <v>12587.282775519481</v>
      </c>
      <c r="D17" s="39">
        <v>13387.145771371253</v>
      </c>
      <c r="E17" s="39">
        <v>11071.79142955406</v>
      </c>
      <c r="F17" s="39">
        <v>5425.5373100859915</v>
      </c>
      <c r="G17" s="39">
        <v>16700.263490327136</v>
      </c>
      <c r="H17" s="39">
        <v>11945.9555441057</v>
      </c>
      <c r="I17" s="39">
        <v>19607.335783228784</v>
      </c>
      <c r="J17" s="39">
        <v>14157.129401927981</v>
      </c>
      <c r="K17" s="51">
        <f t="shared" si="0"/>
        <v>-27.79677178764215</v>
      </c>
      <c r="L17" s="52">
        <f t="shared" si="1"/>
        <v>160.93506675569429</v>
      </c>
    </row>
    <row r="18" spans="1:12" s="36" customFormat="1" x14ac:dyDescent="0.2">
      <c r="A18" s="46" t="s">
        <v>96</v>
      </c>
      <c r="B18" s="39"/>
      <c r="C18" s="39"/>
      <c r="D18" s="39"/>
      <c r="E18" s="39"/>
      <c r="F18" s="39"/>
      <c r="G18" s="39"/>
      <c r="H18" s="39"/>
      <c r="I18" s="39"/>
      <c r="J18" s="39"/>
      <c r="K18" s="53"/>
      <c r="L18" s="54"/>
    </row>
    <row r="19" spans="1:12" s="36" customFormat="1" x14ac:dyDescent="0.3">
      <c r="A19" s="43" t="s">
        <v>87</v>
      </c>
      <c r="B19" s="39"/>
      <c r="C19" s="39">
        <v>108286.49284653891</v>
      </c>
      <c r="D19" s="39">
        <v>75644.103079875611</v>
      </c>
      <c r="E19" s="39">
        <v>121819.99565421375</v>
      </c>
      <c r="F19" s="39">
        <v>79656.906337006934</v>
      </c>
      <c r="G19" s="39">
        <v>153965.20952287252</v>
      </c>
      <c r="H19" s="39">
        <v>138701.12964790172</v>
      </c>
      <c r="I19" s="39">
        <v>142628.08062269739</v>
      </c>
      <c r="J19" s="39">
        <v>185357.90104194108</v>
      </c>
      <c r="K19" s="51">
        <f t="shared" si="0"/>
        <v>29.958911479906565</v>
      </c>
      <c r="L19" s="52">
        <f t="shared" si="1"/>
        <v>132.69532996642084</v>
      </c>
    </row>
    <row r="20" spans="1:12" s="36" customFormat="1" ht="15" thickBot="1" x14ac:dyDescent="0.35">
      <c r="A20" s="47" t="s">
        <v>88</v>
      </c>
      <c r="B20" s="41"/>
      <c r="C20" s="41">
        <v>88668.446483741747</v>
      </c>
      <c r="D20" s="41">
        <v>110669.03828081973</v>
      </c>
      <c r="E20" s="41">
        <v>113664.08883047366</v>
      </c>
      <c r="F20" s="41">
        <v>88610.718125544736</v>
      </c>
      <c r="G20" s="41">
        <v>180209.6808784811</v>
      </c>
      <c r="H20" s="41">
        <v>237525.60313292555</v>
      </c>
      <c r="I20" s="41">
        <v>189804.76560929077</v>
      </c>
      <c r="J20" s="41">
        <v>199853.9655861987</v>
      </c>
      <c r="K20" s="57">
        <f t="shared" si="0"/>
        <v>5.2944929726337842</v>
      </c>
      <c r="L20" s="58">
        <f t="shared" si="1"/>
        <v>125.54152569110566</v>
      </c>
    </row>
    <row r="21" spans="1:12" ht="46.5" customHeight="1" thickTop="1" x14ac:dyDescent="0.3">
      <c r="A21" s="562" t="s">
        <v>405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</row>
    <row r="23" spans="1:12" ht="60" customHeight="1" thickBot="1" x14ac:dyDescent="0.35">
      <c r="A23" s="560" t="s">
        <v>413</v>
      </c>
      <c r="B23" s="561"/>
      <c r="C23" s="561"/>
      <c r="D23" s="561"/>
      <c r="E23" s="561"/>
      <c r="F23" s="561"/>
      <c r="G23" s="561"/>
      <c r="H23" s="561"/>
      <c r="I23" s="561"/>
      <c r="J23" s="561"/>
      <c r="K23" s="561"/>
      <c r="L23" s="561"/>
    </row>
    <row r="24" spans="1:12" ht="24" customHeight="1" thickTop="1" thickBot="1" x14ac:dyDescent="0.35">
      <c r="A24" s="34" t="s">
        <v>56</v>
      </c>
      <c r="B24" s="35" t="s">
        <v>57</v>
      </c>
      <c r="C24" s="35" t="s">
        <v>58</v>
      </c>
      <c r="D24" s="35" t="s">
        <v>59</v>
      </c>
      <c r="E24" s="35" t="s">
        <v>60</v>
      </c>
      <c r="F24" s="35" t="s">
        <v>61</v>
      </c>
      <c r="G24" s="35" t="s">
        <v>62</v>
      </c>
      <c r="H24" s="35" t="s">
        <v>63</v>
      </c>
      <c r="I24" s="35" t="s">
        <v>64</v>
      </c>
      <c r="J24" s="35" t="s">
        <v>65</v>
      </c>
      <c r="K24" s="376" t="s">
        <v>69</v>
      </c>
      <c r="L24" s="377" t="s">
        <v>70</v>
      </c>
    </row>
    <row r="25" spans="1:12" s="36" customFormat="1" ht="15" thickTop="1" x14ac:dyDescent="0.3">
      <c r="A25" s="42" t="s">
        <v>78</v>
      </c>
      <c r="B25" s="59">
        <v>28.777447613672059</v>
      </c>
      <c r="C25" s="59">
        <v>6.9869927373916232</v>
      </c>
      <c r="D25" s="59">
        <v>6.3136311989177392</v>
      </c>
      <c r="E25" s="59">
        <v>9.1332360125806638</v>
      </c>
      <c r="F25" s="59">
        <v>8.0930486240581914</v>
      </c>
      <c r="G25" s="59">
        <v>16.7</v>
      </c>
      <c r="H25" s="59">
        <v>12.784285485981531</v>
      </c>
      <c r="I25" s="59">
        <v>16.485676081621037</v>
      </c>
      <c r="J25" s="59">
        <v>11.67963192347365</v>
      </c>
      <c r="K25" s="60">
        <f>J25-I25</f>
        <v>-4.8060441581473867</v>
      </c>
      <c r="L25" s="61">
        <f>J25-F25</f>
        <v>3.5865832994154587</v>
      </c>
    </row>
    <row r="26" spans="1:12" s="36" customFormat="1" x14ac:dyDescent="0.3">
      <c r="A26" s="43" t="s">
        <v>79</v>
      </c>
      <c r="B26" s="37"/>
      <c r="C26" s="62">
        <v>3.6459738318986834</v>
      </c>
      <c r="D26" s="62">
        <v>6.8886983683809788</v>
      </c>
      <c r="E26" s="62">
        <v>5.4477623736673841</v>
      </c>
      <c r="F26" s="62">
        <v>3.0784326643547266</v>
      </c>
      <c r="G26" s="62">
        <v>5.7389817276651618</v>
      </c>
      <c r="H26" s="62">
        <v>4.7159230213030101</v>
      </c>
      <c r="I26" s="62">
        <v>5.4729807796607961</v>
      </c>
      <c r="J26" s="62">
        <v>5.6349898649684667</v>
      </c>
      <c r="K26" s="60">
        <f t="shared" ref="K26:K42" si="2">J26-I26</f>
        <v>0.16200908530767055</v>
      </c>
      <c r="L26" s="61">
        <f t="shared" ref="L26:L42" si="3">J26-F26</f>
        <v>2.55655720061374</v>
      </c>
    </row>
    <row r="27" spans="1:12" s="36" customFormat="1" x14ac:dyDescent="0.2">
      <c r="A27" s="46" t="s">
        <v>91</v>
      </c>
      <c r="B27" s="37"/>
      <c r="C27" s="62"/>
      <c r="D27" s="62"/>
      <c r="E27" s="62"/>
      <c r="F27" s="62"/>
      <c r="G27" s="62"/>
      <c r="H27" s="62"/>
      <c r="I27" s="62"/>
      <c r="J27" s="62"/>
      <c r="K27" s="60"/>
      <c r="L27" s="63"/>
    </row>
    <row r="28" spans="1:12" s="36" customFormat="1" x14ac:dyDescent="0.2">
      <c r="A28" s="44" t="s">
        <v>92</v>
      </c>
      <c r="B28" s="37"/>
      <c r="C28" s="62"/>
      <c r="D28" s="62"/>
      <c r="E28" s="62"/>
      <c r="F28" s="62"/>
      <c r="G28" s="62"/>
      <c r="H28" s="62"/>
      <c r="I28" s="62"/>
      <c r="J28" s="62"/>
      <c r="K28" s="60"/>
      <c r="L28" s="63"/>
    </row>
    <row r="29" spans="1:12" s="36" customFormat="1" x14ac:dyDescent="0.3">
      <c r="A29" s="43" t="s">
        <v>80</v>
      </c>
      <c r="B29" s="37"/>
      <c r="C29" s="37"/>
      <c r="D29" s="62">
        <v>2.4044483640962437</v>
      </c>
      <c r="E29" s="62">
        <v>2.518659069140357</v>
      </c>
      <c r="F29" s="62">
        <v>3.5280015396186739</v>
      </c>
      <c r="G29" s="62">
        <v>4.6507733293353537</v>
      </c>
      <c r="H29" s="62">
        <v>4.6065586112841341</v>
      </c>
      <c r="I29" s="62">
        <v>3.6405045476647344</v>
      </c>
      <c r="J29" s="62">
        <v>2.1375358883044031</v>
      </c>
      <c r="K29" s="60">
        <f t="shared" si="2"/>
        <v>-1.5029686593603313</v>
      </c>
      <c r="L29" s="61">
        <f t="shared" si="3"/>
        <v>-1.3904656513142708</v>
      </c>
    </row>
    <row r="30" spans="1:12" s="36" customFormat="1" x14ac:dyDescent="0.3">
      <c r="A30" s="43" t="s">
        <v>81</v>
      </c>
      <c r="B30" s="37"/>
      <c r="C30" s="37"/>
      <c r="D30" s="62">
        <v>1.0804319285356063</v>
      </c>
      <c r="E30" s="62">
        <v>2.7048047985285826</v>
      </c>
      <c r="F30" s="62">
        <v>2.1416718662283665</v>
      </c>
      <c r="G30" s="62">
        <v>3.0923891405488702</v>
      </c>
      <c r="H30" s="62">
        <v>2.9375341028794</v>
      </c>
      <c r="I30" s="62">
        <v>3.1059360411366037</v>
      </c>
      <c r="J30" s="62">
        <v>1.8115403630559646</v>
      </c>
      <c r="K30" s="60">
        <f t="shared" si="2"/>
        <v>-1.2943956780806392</v>
      </c>
      <c r="L30" s="61">
        <f t="shared" si="3"/>
        <v>-0.33013150317240192</v>
      </c>
    </row>
    <row r="31" spans="1:12" s="36" customFormat="1" x14ac:dyDescent="0.3">
      <c r="A31" s="45" t="s">
        <v>93</v>
      </c>
      <c r="B31" s="37"/>
      <c r="C31" s="37"/>
      <c r="D31" s="64">
        <v>0.83504914889636472</v>
      </c>
      <c r="E31" s="64">
        <v>1.2703648410515351</v>
      </c>
      <c r="F31" s="64">
        <v>0.98851962369101642</v>
      </c>
      <c r="G31" s="64">
        <v>2.124210534887236</v>
      </c>
      <c r="H31" s="64">
        <v>1.1970536028835703</v>
      </c>
      <c r="I31" s="64">
        <v>1.7119709860291183</v>
      </c>
      <c r="J31" s="64">
        <v>1.1891620731640848</v>
      </c>
      <c r="K31" s="60">
        <f t="shared" si="2"/>
        <v>-0.5228089128650335</v>
      </c>
      <c r="L31" s="61">
        <f t="shared" si="3"/>
        <v>0.20064244947306842</v>
      </c>
    </row>
    <row r="32" spans="1:12" s="36" customFormat="1" x14ac:dyDescent="0.3">
      <c r="A32" s="43" t="s">
        <v>82</v>
      </c>
      <c r="B32" s="37"/>
      <c r="C32" s="37"/>
      <c r="D32" s="62">
        <v>3.4848802926318498</v>
      </c>
      <c r="E32" s="62">
        <v>5.22346386766894</v>
      </c>
      <c r="F32" s="62">
        <v>5.6696734058470399</v>
      </c>
      <c r="G32" s="62">
        <v>7.7431624698842239</v>
      </c>
      <c r="H32" s="62">
        <v>7.5440927141635346</v>
      </c>
      <c r="I32" s="62">
        <v>6.746440588801339</v>
      </c>
      <c r="J32" s="62">
        <v>3.949076251360367</v>
      </c>
      <c r="K32" s="60">
        <f t="shared" si="2"/>
        <v>-2.797364337440972</v>
      </c>
      <c r="L32" s="61">
        <f t="shared" si="3"/>
        <v>-1.7205971544866729</v>
      </c>
    </row>
    <row r="33" spans="1:12" s="36" customFormat="1" x14ac:dyDescent="0.2">
      <c r="A33" s="44" t="s">
        <v>94</v>
      </c>
      <c r="B33" s="55"/>
      <c r="C33" s="55"/>
      <c r="D33" s="55"/>
      <c r="E33" s="55"/>
      <c r="F33" s="55"/>
      <c r="G33" s="55"/>
      <c r="H33" s="55"/>
      <c r="I33" s="55"/>
      <c r="J33" s="55"/>
      <c r="K33" s="65"/>
      <c r="L33" s="63"/>
    </row>
    <row r="34" spans="1:12" s="36" customFormat="1" x14ac:dyDescent="0.3">
      <c r="A34" s="43" t="s">
        <v>83</v>
      </c>
      <c r="B34" s="37"/>
      <c r="C34" s="37"/>
      <c r="D34" s="37"/>
      <c r="E34" s="62">
        <v>3.3915894793267154</v>
      </c>
      <c r="F34" s="62">
        <v>2.3164576429567996</v>
      </c>
      <c r="G34" s="62">
        <v>3.5941367533404325</v>
      </c>
      <c r="H34" s="62">
        <v>3.0815184764319969</v>
      </c>
      <c r="I34" s="62">
        <v>3.3864597274553438</v>
      </c>
      <c r="J34" s="62">
        <v>2.3403985094727742</v>
      </c>
      <c r="K34" s="60">
        <f t="shared" si="2"/>
        <v>-1.0460612179825697</v>
      </c>
      <c r="L34" s="61">
        <f t="shared" si="3"/>
        <v>2.3940866515974601E-2</v>
      </c>
    </row>
    <row r="35" spans="1:12" s="36" customFormat="1" x14ac:dyDescent="0.2">
      <c r="A35" s="46" t="s">
        <v>95</v>
      </c>
      <c r="B35" s="37"/>
      <c r="C35" s="37"/>
      <c r="D35" s="37"/>
      <c r="E35" s="62"/>
      <c r="F35" s="62"/>
      <c r="G35" s="62"/>
      <c r="H35" s="62"/>
      <c r="I35" s="62"/>
      <c r="J35" s="62"/>
      <c r="K35" s="60"/>
      <c r="L35" s="63"/>
    </row>
    <row r="36" spans="1:12" s="36" customFormat="1" ht="20.399999999999999" x14ac:dyDescent="0.3">
      <c r="A36" s="43" t="s">
        <v>84</v>
      </c>
      <c r="B36" s="62">
        <v>2.5737520812711399</v>
      </c>
      <c r="C36" s="62">
        <v>2.0243649624944102</v>
      </c>
      <c r="D36" s="62">
        <v>2.3476723721429114</v>
      </c>
      <c r="E36" s="62">
        <v>2.6758061447803141</v>
      </c>
      <c r="F36" s="62">
        <v>2.9469131694593016</v>
      </c>
      <c r="G36" s="62">
        <v>5.9</v>
      </c>
      <c r="H36" s="62">
        <v>6.240284629117995</v>
      </c>
      <c r="I36" s="62">
        <v>6.3250365467995557</v>
      </c>
      <c r="J36" s="62">
        <v>6.5351195901944923</v>
      </c>
      <c r="K36" s="60">
        <f t="shared" si="2"/>
        <v>0.21008304339493655</v>
      </c>
      <c r="L36" s="61">
        <f t="shared" si="3"/>
        <v>3.5882064207351907</v>
      </c>
    </row>
    <row r="37" spans="1:12" s="36" customFormat="1" x14ac:dyDescent="0.3">
      <c r="A37" s="43" t="s">
        <v>387</v>
      </c>
      <c r="B37" s="62">
        <v>2.5903271471933151</v>
      </c>
      <c r="C37" s="62">
        <v>0.81114601622530402</v>
      </c>
      <c r="D37" s="62">
        <v>1.06033819292614</v>
      </c>
      <c r="E37" s="62">
        <v>1.1486312990056087</v>
      </c>
      <c r="F37" s="62">
        <v>1.6354538150046147</v>
      </c>
      <c r="G37" s="62">
        <v>2.4</v>
      </c>
      <c r="H37" s="62">
        <v>1.7725810163502966</v>
      </c>
      <c r="I37" s="62">
        <v>1.9738593287884041</v>
      </c>
      <c r="J37" s="62">
        <v>1.3790688552731563</v>
      </c>
      <c r="K37" s="60">
        <f t="shared" si="2"/>
        <v>-0.59479047351524783</v>
      </c>
      <c r="L37" s="61">
        <f t="shared" si="3"/>
        <v>-0.25638495973145847</v>
      </c>
    </row>
    <row r="38" spans="1:12" s="36" customFormat="1" x14ac:dyDescent="0.3">
      <c r="A38" s="43" t="s">
        <v>85</v>
      </c>
      <c r="B38" s="62">
        <v>0</v>
      </c>
      <c r="C38" s="62">
        <v>0.17918138894060395</v>
      </c>
      <c r="D38" s="62">
        <v>0.6124631816603946</v>
      </c>
      <c r="E38" s="62">
        <v>0.34951059951791497</v>
      </c>
      <c r="F38" s="62">
        <v>0.33133651399669856</v>
      </c>
      <c r="G38" s="62">
        <v>0.8</v>
      </c>
      <c r="H38" s="62">
        <v>0.49481800101098772</v>
      </c>
      <c r="I38" s="62">
        <v>0.80315844820295301</v>
      </c>
      <c r="J38" s="62">
        <v>0.92480255165274616</v>
      </c>
      <c r="K38" s="60">
        <f t="shared" si="2"/>
        <v>0.12164410344979315</v>
      </c>
      <c r="L38" s="61">
        <f t="shared" si="3"/>
        <v>0.59346603765604766</v>
      </c>
    </row>
    <row r="39" spans="1:12" s="36" customFormat="1" x14ac:dyDescent="0.3">
      <c r="A39" s="43" t="s">
        <v>86</v>
      </c>
      <c r="B39" s="62">
        <v>3.4239596975177413</v>
      </c>
      <c r="C39" s="62">
        <v>0.59329838695540893</v>
      </c>
      <c r="D39" s="62">
        <v>0.64659705403183143</v>
      </c>
      <c r="E39" s="62">
        <v>0.53122982227653115</v>
      </c>
      <c r="F39" s="62">
        <v>0.25214125653346658</v>
      </c>
      <c r="G39" s="62">
        <v>0.8</v>
      </c>
      <c r="H39" s="62">
        <v>0.55353308971448723</v>
      </c>
      <c r="I39" s="62">
        <v>0.91514477600896282</v>
      </c>
      <c r="J39" s="62">
        <v>0.65572990505898165</v>
      </c>
      <c r="K39" s="60">
        <f t="shared" si="2"/>
        <v>-0.25941487094998117</v>
      </c>
      <c r="L39" s="61">
        <f t="shared" si="3"/>
        <v>0.40358864852551507</v>
      </c>
    </row>
    <row r="40" spans="1:12" s="36" customFormat="1" x14ac:dyDescent="0.2">
      <c r="A40" s="46" t="s">
        <v>96</v>
      </c>
      <c r="B40" s="62"/>
      <c r="C40" s="62"/>
      <c r="D40" s="62"/>
      <c r="E40" s="62"/>
      <c r="F40" s="62"/>
      <c r="G40" s="62"/>
      <c r="H40" s="62"/>
      <c r="I40" s="62"/>
      <c r="J40" s="62"/>
      <c r="K40" s="60"/>
      <c r="L40" s="63"/>
    </row>
    <row r="41" spans="1:12" s="36" customFormat="1" x14ac:dyDescent="0.3">
      <c r="A41" s="43" t="s">
        <v>87</v>
      </c>
      <c r="B41" s="37"/>
      <c r="C41" s="62">
        <v>5.1040564258920043</v>
      </c>
      <c r="D41" s="62">
        <v>3.6535983877105194</v>
      </c>
      <c r="E41" s="62">
        <v>5.8449813702571092</v>
      </c>
      <c r="F41" s="62">
        <v>3.701899241950525</v>
      </c>
      <c r="G41" s="62">
        <v>7.0910723823366704</v>
      </c>
      <c r="H41" s="62">
        <v>6.4269170061305587</v>
      </c>
      <c r="I41" s="62">
        <v>6.6569647369272689</v>
      </c>
      <c r="J41" s="62">
        <v>8.5854070695724154</v>
      </c>
      <c r="K41" s="60">
        <f t="shared" si="2"/>
        <v>1.9284423326451465</v>
      </c>
      <c r="L41" s="61">
        <f t="shared" si="3"/>
        <v>4.8835078276218908</v>
      </c>
    </row>
    <row r="42" spans="1:12" s="36" customFormat="1" ht="15" thickBot="1" x14ac:dyDescent="0.35">
      <c r="A42" s="47" t="s">
        <v>90</v>
      </c>
      <c r="B42" s="38"/>
      <c r="C42" s="66">
        <v>4.1793647771986997</v>
      </c>
      <c r="D42" s="66">
        <v>5.3452972983937403</v>
      </c>
      <c r="E42" s="66">
        <v>5.453657079147896</v>
      </c>
      <c r="F42" s="66">
        <v>4.1180101681309074</v>
      </c>
      <c r="G42" s="66">
        <v>8.2997963959985732</v>
      </c>
      <c r="H42" s="66">
        <v>11.006091601716863</v>
      </c>
      <c r="I42" s="66">
        <v>8.8588700489090169</v>
      </c>
      <c r="J42" s="66">
        <v>9.2568357722047718</v>
      </c>
      <c r="K42" s="67">
        <f t="shared" si="2"/>
        <v>0.39796572329575497</v>
      </c>
      <c r="L42" s="68">
        <f t="shared" si="3"/>
        <v>5.1388256040738645</v>
      </c>
    </row>
    <row r="43" spans="1:12" ht="47.25" customHeight="1" thickTop="1" x14ac:dyDescent="0.3">
      <c r="A43" s="562" t="s">
        <v>111</v>
      </c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</row>
  </sheetData>
  <mergeCells count="4">
    <mergeCell ref="A1:L1"/>
    <mergeCell ref="A23:L23"/>
    <mergeCell ref="A21:L21"/>
    <mergeCell ref="A43:L4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zoomScale="80" zoomScaleNormal="80" workbookViewId="0">
      <selection sqref="A1:K1"/>
    </sheetView>
  </sheetViews>
  <sheetFormatPr baseColWidth="10" defaultColWidth="8.88671875" defaultRowHeight="14.4" x14ac:dyDescent="0.3"/>
  <cols>
    <col min="1" max="1" width="59.109375" bestFit="1" customWidth="1"/>
    <col min="2" max="11" width="9.88671875" customWidth="1"/>
  </cols>
  <sheetData>
    <row r="1" spans="1:11" ht="63" customHeight="1" thickBot="1" x14ac:dyDescent="0.35">
      <c r="A1" s="563" t="s">
        <v>418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</row>
    <row r="2" spans="1:11" ht="21.6" thickTop="1" thickBot="1" x14ac:dyDescent="0.35">
      <c r="A2" s="96" t="s">
        <v>56</v>
      </c>
      <c r="B2" s="97" t="s">
        <v>58</v>
      </c>
      <c r="C2" s="97" t="s">
        <v>59</v>
      </c>
      <c r="D2" s="97" t="s">
        <v>60</v>
      </c>
      <c r="E2" s="97" t="s">
        <v>61</v>
      </c>
      <c r="F2" s="97" t="s">
        <v>62</v>
      </c>
      <c r="G2" s="97" t="s">
        <v>63</v>
      </c>
      <c r="H2" s="97" t="s">
        <v>64</v>
      </c>
      <c r="I2" s="97" t="s">
        <v>65</v>
      </c>
      <c r="J2" s="376" t="s">
        <v>69</v>
      </c>
      <c r="K2" s="377" t="s">
        <v>70</v>
      </c>
    </row>
    <row r="3" spans="1:11" ht="20.399999999999999" customHeight="1" thickTop="1" x14ac:dyDescent="0.3">
      <c r="A3" s="98" t="s">
        <v>97</v>
      </c>
      <c r="B3" s="99">
        <v>589744.95746479358</v>
      </c>
      <c r="C3" s="99">
        <v>401184.36235590221</v>
      </c>
      <c r="D3" s="99">
        <v>411281.06318101933</v>
      </c>
      <c r="E3" s="99">
        <v>436551.20177571609</v>
      </c>
      <c r="F3" s="99">
        <v>457864.31869065861</v>
      </c>
      <c r="G3" s="99">
        <v>488082.03576573281</v>
      </c>
      <c r="H3" s="99">
        <v>407678.54270008911</v>
      </c>
      <c r="I3" s="99">
        <v>433277.33917182835</v>
      </c>
      <c r="J3" s="69">
        <f>((I3-H3)/H3)*100</f>
        <v>6.2791620825065442</v>
      </c>
      <c r="K3" s="70">
        <f>((I3-E3)/E3)*100</f>
        <v>-0.74993782872913284</v>
      </c>
    </row>
    <row r="4" spans="1:11" ht="20.399999999999999" customHeight="1" x14ac:dyDescent="0.3">
      <c r="A4" s="100" t="s">
        <v>98</v>
      </c>
      <c r="B4" s="101"/>
      <c r="C4" s="101"/>
      <c r="D4" s="101">
        <v>823150.20502301678</v>
      </c>
      <c r="E4" s="101">
        <v>748791.65709941008</v>
      </c>
      <c r="F4" s="101">
        <v>475912.9984189212</v>
      </c>
      <c r="G4" s="101">
        <v>486136.48931844736</v>
      </c>
      <c r="H4" s="101">
        <v>390698.13183977426</v>
      </c>
      <c r="I4" s="101">
        <v>498552.97789090034</v>
      </c>
      <c r="J4" s="69">
        <f t="shared" ref="J4:J5" si="0">((I4-H4)/H4)*100</f>
        <v>27.605672323858837</v>
      </c>
      <c r="K4" s="70"/>
    </row>
    <row r="5" spans="1:11" ht="20.399999999999999" customHeight="1" thickBot="1" x14ac:dyDescent="0.35">
      <c r="A5" s="102" t="s">
        <v>99</v>
      </c>
      <c r="B5" s="103">
        <v>33468.337746704135</v>
      </c>
      <c r="C5" s="103">
        <v>22232.979903773456</v>
      </c>
      <c r="D5" s="103">
        <v>27171.527424752589</v>
      </c>
      <c r="E5" s="103">
        <v>30013.439432443189</v>
      </c>
      <c r="F5" s="103">
        <v>46359.43866154032</v>
      </c>
      <c r="G5" s="103">
        <v>36749.760524269404</v>
      </c>
      <c r="H5" s="103">
        <v>51956.834834001886</v>
      </c>
      <c r="I5" s="103">
        <v>48746.807773691333</v>
      </c>
      <c r="J5" s="71">
        <f t="shared" si="0"/>
        <v>-6.1782575296712041</v>
      </c>
      <c r="K5" s="72">
        <f t="shared" ref="K5" si="1">((I5-E5)/E5)*100</f>
        <v>62.416599681668636</v>
      </c>
    </row>
    <row r="6" spans="1:11" ht="36.75" customHeight="1" thickTop="1" x14ac:dyDescent="0.3">
      <c r="A6" s="564" t="s">
        <v>406</v>
      </c>
      <c r="B6" s="564"/>
      <c r="C6" s="564"/>
      <c r="D6" s="564"/>
      <c r="E6" s="564"/>
      <c r="F6" s="564"/>
      <c r="G6" s="564"/>
      <c r="H6" s="564"/>
      <c r="I6" s="564"/>
      <c r="J6" s="564"/>
      <c r="K6" s="564"/>
    </row>
    <row r="8" spans="1:11" ht="65.400000000000006" customHeight="1" thickBot="1" x14ac:dyDescent="0.35">
      <c r="A8" s="563" t="s">
        <v>419</v>
      </c>
      <c r="B8" s="563"/>
      <c r="C8" s="563"/>
      <c r="D8" s="563"/>
      <c r="E8" s="563"/>
      <c r="F8" s="563"/>
      <c r="G8" s="563"/>
      <c r="H8" s="563"/>
      <c r="I8" s="563"/>
      <c r="J8" s="563"/>
      <c r="K8" s="563"/>
    </row>
    <row r="9" spans="1:11" ht="21.6" thickTop="1" thickBot="1" x14ac:dyDescent="0.35">
      <c r="A9" s="96" t="s">
        <v>56</v>
      </c>
      <c r="B9" s="97" t="s">
        <v>58</v>
      </c>
      <c r="C9" s="97" t="s">
        <v>59</v>
      </c>
      <c r="D9" s="97" t="s">
        <v>60</v>
      </c>
      <c r="E9" s="97" t="s">
        <v>61</v>
      </c>
      <c r="F9" s="97" t="s">
        <v>62</v>
      </c>
      <c r="G9" s="97" t="s">
        <v>63</v>
      </c>
      <c r="H9" s="97" t="s">
        <v>64</v>
      </c>
      <c r="I9" s="97" t="s">
        <v>65</v>
      </c>
      <c r="J9" s="376" t="s">
        <v>69</v>
      </c>
      <c r="K9" s="377" t="s">
        <v>70</v>
      </c>
    </row>
    <row r="10" spans="1:11" ht="20.399999999999999" customHeight="1" thickTop="1" x14ac:dyDescent="0.3">
      <c r="A10" s="98" t="s">
        <v>97</v>
      </c>
      <c r="B10" s="104">
        <v>27.797479266886825</v>
      </c>
      <c r="C10" s="104">
        <v>19.377142167056135</v>
      </c>
      <c r="D10" s="104">
        <v>19.733461155721528</v>
      </c>
      <c r="E10" s="104">
        <v>20.287865010586316</v>
      </c>
      <c r="F10" s="104">
        <v>21.087549811974903</v>
      </c>
      <c r="G10" s="104">
        <v>22.615985493504407</v>
      </c>
      <c r="H10" s="104">
        <v>19.02782166672802</v>
      </c>
      <c r="I10" s="104">
        <v>20.068539349556133</v>
      </c>
      <c r="J10" s="69">
        <f>I10-H10</f>
        <v>1.0407176828281131</v>
      </c>
      <c r="K10" s="70">
        <f>I10-E10</f>
        <v>-0.21932566103018303</v>
      </c>
    </row>
    <row r="11" spans="1:11" ht="20.399999999999999" customHeight="1" x14ac:dyDescent="0.3">
      <c r="A11" s="100" t="s">
        <v>98</v>
      </c>
      <c r="B11" s="105"/>
      <c r="C11" s="105"/>
      <c r="D11" s="105">
        <v>39.49513860548587</v>
      </c>
      <c r="E11" s="105">
        <v>34.79863071844396</v>
      </c>
      <c r="F11" s="105">
        <v>21.918805748009731</v>
      </c>
      <c r="G11" s="105">
        <v>22.52583579119111</v>
      </c>
      <c r="H11" s="105">
        <v>18.235284910837187</v>
      </c>
      <c r="I11" s="105">
        <v>23.091976316522828</v>
      </c>
      <c r="J11" s="69">
        <f t="shared" ref="J11" si="2">I11-H11</f>
        <v>4.8566914056856412</v>
      </c>
      <c r="K11" s="70"/>
    </row>
    <row r="12" spans="1:11" ht="20.399999999999999" customHeight="1" thickBot="1" x14ac:dyDescent="0.35">
      <c r="A12" s="102" t="s">
        <v>99</v>
      </c>
      <c r="B12" s="106">
        <v>1.5775216266545571</v>
      </c>
      <c r="C12" s="106">
        <v>1.0738494637797846</v>
      </c>
      <c r="D12" s="106">
        <v>1.3037028178026815</v>
      </c>
      <c r="E12" s="106">
        <v>1.3948160152394891</v>
      </c>
      <c r="F12" s="106">
        <v>2.1351455706923415</v>
      </c>
      <c r="G12" s="106">
        <v>1.7028531886093843</v>
      </c>
      <c r="H12" s="106">
        <v>2.4250120721127022</v>
      </c>
      <c r="I12" s="106">
        <v>2.2578545922606428</v>
      </c>
      <c r="J12" s="71">
        <f>I12-H12</f>
        <v>-0.16715747985205942</v>
      </c>
      <c r="K12" s="72">
        <f>I12-E12</f>
        <v>0.86303857702115372</v>
      </c>
    </row>
    <row r="13" spans="1:11" ht="36.75" customHeight="1" thickTop="1" x14ac:dyDescent="0.3">
      <c r="A13" s="564" t="s">
        <v>407</v>
      </c>
      <c r="B13" s="564"/>
      <c r="C13" s="564"/>
      <c r="D13" s="564"/>
      <c r="E13" s="564"/>
      <c r="F13" s="564"/>
      <c r="G13" s="564"/>
      <c r="H13" s="564"/>
      <c r="I13" s="564"/>
      <c r="J13" s="564"/>
      <c r="K13" s="564"/>
    </row>
  </sheetData>
  <mergeCells count="4">
    <mergeCell ref="A1:K1"/>
    <mergeCell ref="A8:K8"/>
    <mergeCell ref="A6:K6"/>
    <mergeCell ref="A13:K1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zoomScale="110" zoomScaleNormal="110" workbookViewId="0">
      <selection sqref="A1:F1"/>
    </sheetView>
  </sheetViews>
  <sheetFormatPr baseColWidth="10" defaultRowHeight="14.4" x14ac:dyDescent="0.3"/>
  <cols>
    <col min="1" max="1" width="29.33203125" customWidth="1"/>
    <col min="2" max="6" width="12.5546875" customWidth="1"/>
  </cols>
  <sheetData>
    <row r="1" spans="1:6" ht="54.75" customHeight="1" thickBot="1" x14ac:dyDescent="0.35">
      <c r="A1" s="565" t="s">
        <v>379</v>
      </c>
      <c r="B1" s="566"/>
      <c r="C1" s="566"/>
      <c r="D1" s="566"/>
      <c r="E1" s="566"/>
      <c r="F1" s="566"/>
    </row>
    <row r="2" spans="1:6" ht="54" customHeight="1" thickTop="1" thickBot="1" x14ac:dyDescent="0.35">
      <c r="A2" s="74" t="s">
        <v>100</v>
      </c>
      <c r="B2" s="75" t="s">
        <v>101</v>
      </c>
      <c r="C2" s="75" t="s">
        <v>102</v>
      </c>
      <c r="D2" s="75" t="s">
        <v>103</v>
      </c>
      <c r="E2" s="75" t="s">
        <v>104</v>
      </c>
      <c r="F2" s="75" t="s">
        <v>105</v>
      </c>
    </row>
    <row r="3" spans="1:6" x14ac:dyDescent="0.3">
      <c r="A3" s="73">
        <v>1986</v>
      </c>
      <c r="B3" s="76">
        <v>11.7</v>
      </c>
      <c r="C3" s="76">
        <v>23.7</v>
      </c>
      <c r="D3" s="76">
        <v>2.77</v>
      </c>
      <c r="E3" s="77">
        <v>59015</v>
      </c>
      <c r="F3" s="77">
        <v>594550</v>
      </c>
    </row>
    <row r="4" spans="1:6" x14ac:dyDescent="0.3">
      <c r="A4" s="73">
        <v>1996</v>
      </c>
      <c r="B4" s="76">
        <v>13.3</v>
      </c>
      <c r="C4" s="78">
        <v>22</v>
      </c>
      <c r="D4" s="76">
        <v>2.93</v>
      </c>
      <c r="E4" s="77">
        <v>62207</v>
      </c>
      <c r="F4" s="77">
        <v>674954</v>
      </c>
    </row>
    <row r="5" spans="1:6" x14ac:dyDescent="0.3">
      <c r="A5" s="73">
        <v>2000</v>
      </c>
      <c r="B5" s="76">
        <v>7.9</v>
      </c>
      <c r="C5" s="76">
        <v>22.5</v>
      </c>
      <c r="D5" s="76">
        <v>1.77</v>
      </c>
      <c r="E5" s="77">
        <v>36674</v>
      </c>
      <c r="F5" s="77">
        <v>688227</v>
      </c>
    </row>
    <row r="6" spans="1:6" x14ac:dyDescent="0.3">
      <c r="A6" s="73">
        <v>2004</v>
      </c>
      <c r="B6" s="76">
        <v>5.6</v>
      </c>
      <c r="C6" s="76">
        <v>21.1</v>
      </c>
      <c r="D6" s="76">
        <v>1.18</v>
      </c>
      <c r="E6" s="77">
        <v>24541</v>
      </c>
      <c r="F6" s="77">
        <v>742753</v>
      </c>
    </row>
    <row r="7" spans="1:6" x14ac:dyDescent="0.3">
      <c r="A7" s="73">
        <v>2008</v>
      </c>
      <c r="B7" s="76">
        <v>5.7</v>
      </c>
      <c r="C7" s="76">
        <v>13.7</v>
      </c>
      <c r="D7" s="76">
        <v>0.78</v>
      </c>
      <c r="E7" s="77">
        <v>16741</v>
      </c>
      <c r="F7" s="77">
        <v>797372</v>
      </c>
    </row>
    <row r="8" spans="1:6" x14ac:dyDescent="0.3">
      <c r="A8" s="73">
        <v>2012</v>
      </c>
      <c r="B8" s="76">
        <v>7.3</v>
      </c>
      <c r="C8" s="76">
        <v>22.6</v>
      </c>
      <c r="D8" s="76">
        <v>1.64</v>
      </c>
      <c r="E8" s="77">
        <v>35575</v>
      </c>
      <c r="F8" s="77">
        <v>856588</v>
      </c>
    </row>
    <row r="9" spans="1:6" x14ac:dyDescent="0.3">
      <c r="A9" s="82">
        <v>2014</v>
      </c>
      <c r="B9" s="83">
        <v>8.1999999999999993</v>
      </c>
      <c r="C9" s="83">
        <v>26.6</v>
      </c>
      <c r="D9" s="83">
        <v>2.1800000000000002</v>
      </c>
      <c r="E9" s="84">
        <v>47009</v>
      </c>
      <c r="F9" s="84">
        <v>876999</v>
      </c>
    </row>
    <row r="10" spans="1:6" x14ac:dyDescent="0.3">
      <c r="A10" s="82">
        <v>2016</v>
      </c>
      <c r="B10" s="85">
        <v>7.0529277112487136</v>
      </c>
      <c r="C10" s="85">
        <v>24.960759713105514</v>
      </c>
      <c r="D10" s="86">
        <v>1.7604643387438237</v>
      </c>
      <c r="E10" s="84">
        <v>37718.638983753517</v>
      </c>
      <c r="F10" s="84">
        <v>876683.36375494604</v>
      </c>
    </row>
    <row r="11" spans="1:6" ht="15" thickBot="1" x14ac:dyDescent="0.35">
      <c r="A11" s="79">
        <v>2018</v>
      </c>
      <c r="B11" s="81">
        <v>7.9809125852288147</v>
      </c>
      <c r="C11" s="81">
        <v>25.071847872065355</v>
      </c>
      <c r="D11" s="87">
        <v>2.0009622621710865</v>
      </c>
      <c r="E11" s="80">
        <v>43200.533413803641</v>
      </c>
      <c r="F11" s="80">
        <v>923480.00089759147</v>
      </c>
    </row>
    <row r="12" spans="1:6" ht="15" thickTop="1" x14ac:dyDescent="0.3">
      <c r="A12" s="88" t="s">
        <v>112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zoomScale="110" zoomScaleNormal="110" workbookViewId="0">
      <selection sqref="A1:F1"/>
    </sheetView>
  </sheetViews>
  <sheetFormatPr baseColWidth="10" defaultRowHeight="14.4" x14ac:dyDescent="0.3"/>
  <cols>
    <col min="1" max="1" width="29.33203125" customWidth="1"/>
    <col min="2" max="6" width="16.109375" customWidth="1"/>
  </cols>
  <sheetData>
    <row r="1" spans="1:6" ht="52.5" customHeight="1" thickBot="1" x14ac:dyDescent="0.35">
      <c r="A1" s="565" t="s">
        <v>380</v>
      </c>
      <c r="B1" s="566"/>
      <c r="C1" s="566"/>
      <c r="D1" s="566"/>
      <c r="E1" s="566"/>
      <c r="F1" s="566"/>
    </row>
    <row r="2" spans="1:6" ht="54" customHeight="1" thickTop="1" thickBot="1" x14ac:dyDescent="0.35">
      <c r="A2" s="74" t="s">
        <v>100</v>
      </c>
      <c r="B2" s="75" t="s">
        <v>106</v>
      </c>
      <c r="C2" s="75" t="s">
        <v>107</v>
      </c>
      <c r="D2" s="75" t="s">
        <v>108</v>
      </c>
      <c r="E2" s="75" t="s">
        <v>109</v>
      </c>
      <c r="F2" s="75" t="s">
        <v>110</v>
      </c>
    </row>
    <row r="3" spans="1:6" x14ac:dyDescent="0.3">
      <c r="A3" s="73">
        <v>1986</v>
      </c>
      <c r="B3" s="76">
        <v>59.3</v>
      </c>
      <c r="C3" s="78">
        <v>31.9</v>
      </c>
      <c r="D3" s="95">
        <v>18.920000000000002</v>
      </c>
      <c r="E3" s="77">
        <v>402759</v>
      </c>
      <c r="F3" s="77">
        <v>594550</v>
      </c>
    </row>
    <row r="4" spans="1:6" x14ac:dyDescent="0.3">
      <c r="A4" s="73">
        <v>1996</v>
      </c>
      <c r="B4" s="76">
        <v>36.299999999999997</v>
      </c>
      <c r="C4" s="78">
        <v>28.8</v>
      </c>
      <c r="D4" s="95">
        <v>10.46</v>
      </c>
      <c r="E4" s="77">
        <v>221981</v>
      </c>
      <c r="F4" s="77">
        <v>674954</v>
      </c>
    </row>
    <row r="5" spans="1:6" x14ac:dyDescent="0.3">
      <c r="A5" s="73">
        <v>2000</v>
      </c>
      <c r="B5" s="76">
        <v>24.7</v>
      </c>
      <c r="C5" s="78">
        <v>27</v>
      </c>
      <c r="D5" s="95">
        <v>6.69</v>
      </c>
      <c r="E5" s="77">
        <v>138557</v>
      </c>
      <c r="F5" s="77">
        <v>688227</v>
      </c>
    </row>
    <row r="6" spans="1:6" x14ac:dyDescent="0.3">
      <c r="A6" s="73">
        <v>2004</v>
      </c>
      <c r="B6" s="76">
        <v>21.9</v>
      </c>
      <c r="C6" s="78">
        <v>25.6</v>
      </c>
      <c r="D6" s="95">
        <v>5.6</v>
      </c>
      <c r="E6" s="77">
        <v>116650</v>
      </c>
      <c r="F6" s="77">
        <v>742753</v>
      </c>
    </row>
    <row r="7" spans="1:6" x14ac:dyDescent="0.3">
      <c r="A7" s="73">
        <v>2008</v>
      </c>
      <c r="B7" s="76">
        <v>16.399999999999999</v>
      </c>
      <c r="C7" s="78">
        <v>20</v>
      </c>
      <c r="D7" s="95">
        <v>3.28</v>
      </c>
      <c r="E7" s="77">
        <v>70663</v>
      </c>
      <c r="F7" s="77">
        <v>797372</v>
      </c>
    </row>
    <row r="8" spans="1:6" x14ac:dyDescent="0.3">
      <c r="A8" s="73">
        <v>2012</v>
      </c>
      <c r="B8" s="76">
        <v>19.899999999999999</v>
      </c>
      <c r="C8" s="78">
        <v>24.7</v>
      </c>
      <c r="D8" s="95">
        <v>4.92</v>
      </c>
      <c r="E8" s="77">
        <v>106894</v>
      </c>
      <c r="F8" s="77">
        <v>856588</v>
      </c>
    </row>
    <row r="9" spans="1:6" x14ac:dyDescent="0.3">
      <c r="A9" s="82">
        <v>2014</v>
      </c>
      <c r="B9" s="83">
        <v>21.9</v>
      </c>
      <c r="C9" s="85">
        <v>27.6</v>
      </c>
      <c r="D9" s="86">
        <v>6.06</v>
      </c>
      <c r="E9" s="84">
        <v>130740</v>
      </c>
      <c r="F9" s="84">
        <v>876999</v>
      </c>
    </row>
    <row r="10" spans="1:6" x14ac:dyDescent="0.3">
      <c r="A10" s="82">
        <v>2016</v>
      </c>
      <c r="B10" s="85">
        <v>18.401830854895078</v>
      </c>
      <c r="C10" s="85">
        <v>27.032298970469338</v>
      </c>
      <c r="D10" s="86">
        <v>4.9744379327353112</v>
      </c>
      <c r="E10" s="84">
        <v>106579.28388700834</v>
      </c>
      <c r="F10" s="84">
        <v>876683.36375494604</v>
      </c>
    </row>
    <row r="11" spans="1:6" ht="15" thickBot="1" x14ac:dyDescent="0.35">
      <c r="A11" s="79">
        <v>2018</v>
      </c>
      <c r="B11" s="81">
        <v>22.444381468446785</v>
      </c>
      <c r="C11" s="81">
        <v>27.503807335781609</v>
      </c>
      <c r="D11" s="87">
        <v>6.1730594367894751</v>
      </c>
      <c r="E11" s="80">
        <v>133275.60719464382</v>
      </c>
      <c r="F11" s="80">
        <v>923480.00089759147</v>
      </c>
    </row>
    <row r="12" spans="1:6" ht="15" thickTop="1" x14ac:dyDescent="0.3">
      <c r="A12" s="88" t="s">
        <v>112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="110" zoomScaleNormal="110" workbookViewId="0">
      <selection sqref="A1:K1"/>
    </sheetView>
  </sheetViews>
  <sheetFormatPr baseColWidth="10" defaultColWidth="9.109375" defaultRowHeight="14.4" x14ac:dyDescent="0.3"/>
  <cols>
    <col min="1" max="1" width="18.109375" customWidth="1"/>
    <col min="2" max="9" width="9.5546875" customWidth="1"/>
  </cols>
  <sheetData>
    <row r="1" spans="1:11" ht="54" customHeight="1" thickBot="1" x14ac:dyDescent="0.35">
      <c r="A1" s="567" t="s">
        <v>113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</row>
    <row r="2" spans="1:11" ht="21.6" thickTop="1" thickBot="1" x14ac:dyDescent="0.35">
      <c r="A2" s="107" t="s">
        <v>114</v>
      </c>
      <c r="B2" s="108" t="s">
        <v>58</v>
      </c>
      <c r="C2" s="108" t="s">
        <v>59</v>
      </c>
      <c r="D2" s="108" t="s">
        <v>60</v>
      </c>
      <c r="E2" s="108" t="s">
        <v>61</v>
      </c>
      <c r="F2" s="108" t="s">
        <v>62</v>
      </c>
      <c r="G2" s="108" t="s">
        <v>63</v>
      </c>
      <c r="H2" s="108" t="s">
        <v>64</v>
      </c>
      <c r="I2" s="108" t="s">
        <v>65</v>
      </c>
      <c r="J2" s="48" t="s">
        <v>69</v>
      </c>
      <c r="K2" s="49" t="s">
        <v>70</v>
      </c>
    </row>
    <row r="3" spans="1:11" ht="14.1" customHeight="1" x14ac:dyDescent="0.3">
      <c r="A3" s="109" t="s">
        <v>115</v>
      </c>
      <c r="B3" s="110">
        <v>76127.17755682909</v>
      </c>
      <c r="C3" s="110">
        <v>87541.554053331856</v>
      </c>
      <c r="D3" s="110">
        <v>74759.343613735298</v>
      </c>
      <c r="E3" s="110">
        <v>32838.392753444256</v>
      </c>
      <c r="F3" s="110">
        <v>31094.102803705962</v>
      </c>
      <c r="G3" s="110">
        <v>43082.613620430297</v>
      </c>
      <c r="H3" s="110">
        <v>34157.554298562733</v>
      </c>
      <c r="I3" s="110">
        <v>19478.764138224698</v>
      </c>
      <c r="J3" s="111">
        <f>((I3-H3)/H3)*100</f>
        <v>-42.973773918455521</v>
      </c>
      <c r="K3" s="112">
        <f>((I3-E3)/E3)*100</f>
        <v>-40.682955208940101</v>
      </c>
    </row>
    <row r="4" spans="1:11" ht="14.1" customHeight="1" thickBot="1" x14ac:dyDescent="0.35">
      <c r="A4" s="113" t="s">
        <v>116</v>
      </c>
      <c r="B4" s="114">
        <v>459791.20648017852</v>
      </c>
      <c r="C4" s="114">
        <v>268400.29556938307</v>
      </c>
      <c r="D4" s="114">
        <v>330546.36269472475</v>
      </c>
      <c r="E4" s="114">
        <v>367810.55179621535</v>
      </c>
      <c r="F4" s="114">
        <v>349352.81103216263</v>
      </c>
      <c r="G4" s="114">
        <v>388535.42496669863</v>
      </c>
      <c r="H4" s="114">
        <v>330174.5371640193</v>
      </c>
      <c r="I4" s="114">
        <v>416116.05887221295</v>
      </c>
      <c r="J4" s="115">
        <f t="shared" ref="J4:J8" si="0">((I4-H4)/H4)*100</f>
        <v>26.029118552379728</v>
      </c>
      <c r="K4" s="116">
        <f t="shared" ref="K4:K8" si="1">((I4-E4)/E4)*100</f>
        <v>13.133257553405144</v>
      </c>
    </row>
    <row r="5" spans="1:11" ht="14.1" customHeight="1" thickBot="1" x14ac:dyDescent="0.35">
      <c r="A5" s="113" t="s">
        <v>117</v>
      </c>
      <c r="B5" s="114">
        <v>535918.38403700816</v>
      </c>
      <c r="C5" s="114">
        <v>355941.84962271567</v>
      </c>
      <c r="D5" s="114">
        <v>405305.7063084598</v>
      </c>
      <c r="E5" s="114">
        <v>400648.94454965938</v>
      </c>
      <c r="F5" s="114">
        <v>380446.9138358683</v>
      </c>
      <c r="G5" s="114">
        <v>431618.03858712886</v>
      </c>
      <c r="H5" s="114">
        <v>364332.09146258252</v>
      </c>
      <c r="I5" s="114">
        <v>435594.8230104383</v>
      </c>
      <c r="J5" s="115">
        <f t="shared" si="0"/>
        <v>19.559828304384922</v>
      </c>
      <c r="K5" s="117">
        <f t="shared" si="1"/>
        <v>8.722318861980046</v>
      </c>
    </row>
    <row r="6" spans="1:11" ht="14.1" customHeight="1" x14ac:dyDescent="0.3">
      <c r="A6" s="109" t="s">
        <v>118</v>
      </c>
      <c r="B6" s="110">
        <v>1079595.7314064479</v>
      </c>
      <c r="C6" s="110">
        <v>1024809.0091171173</v>
      </c>
      <c r="D6" s="110">
        <v>1072863.6830767519</v>
      </c>
      <c r="E6" s="110">
        <v>1014548.8630310822</v>
      </c>
      <c r="F6" s="110">
        <v>920131.81116366049</v>
      </c>
      <c r="G6" s="110">
        <v>833963.73092705256</v>
      </c>
      <c r="H6" s="110">
        <v>862596.98751972069</v>
      </c>
      <c r="I6" s="110">
        <v>765327.80117433227</v>
      </c>
      <c r="J6" s="118">
        <f t="shared" si="0"/>
        <v>-11.276318808517129</v>
      </c>
      <c r="K6" s="112">
        <f t="shared" si="1"/>
        <v>-24.564717475723459</v>
      </c>
    </row>
    <row r="7" spans="1:11" ht="14.1" customHeight="1" thickBot="1" x14ac:dyDescent="0.35">
      <c r="A7" s="113" t="s">
        <v>119</v>
      </c>
      <c r="B7" s="114">
        <v>506062.99520958285</v>
      </c>
      <c r="C7" s="114">
        <v>689649.19766256306</v>
      </c>
      <c r="D7" s="114">
        <v>606011.68729211274</v>
      </c>
      <c r="E7" s="114">
        <v>736587.02314403222</v>
      </c>
      <c r="F7" s="114">
        <v>870675.51161480055</v>
      </c>
      <c r="G7" s="114">
        <v>892546.76265132963</v>
      </c>
      <c r="H7" s="114">
        <v>915610.14511056803</v>
      </c>
      <c r="I7" s="114">
        <v>958065.29030643217</v>
      </c>
      <c r="J7" s="115">
        <f t="shared" si="0"/>
        <v>4.636814633671114</v>
      </c>
      <c r="K7" s="116">
        <f t="shared" si="1"/>
        <v>30.068173916103881</v>
      </c>
    </row>
    <row r="8" spans="1:11" ht="14.1" customHeight="1" thickBot="1" x14ac:dyDescent="0.35">
      <c r="A8" s="119" t="s">
        <v>120</v>
      </c>
      <c r="B8" s="120">
        <v>2121577.1106530097</v>
      </c>
      <c r="C8" s="120">
        <v>2070400.0564023941</v>
      </c>
      <c r="D8" s="120">
        <v>2084181.0766773259</v>
      </c>
      <c r="E8" s="120">
        <v>2151784.8307247828</v>
      </c>
      <c r="F8" s="120">
        <v>2171254.2366142925</v>
      </c>
      <c r="G8" s="120">
        <v>2158128.5321655245</v>
      </c>
      <c r="H8" s="120">
        <v>2142539.2240928588</v>
      </c>
      <c r="I8" s="120">
        <v>2158987.9144912139</v>
      </c>
      <c r="J8" s="121">
        <f t="shared" si="0"/>
        <v>0.76771945238572303</v>
      </c>
      <c r="K8" s="122">
        <f t="shared" si="1"/>
        <v>0.33474925854946552</v>
      </c>
    </row>
    <row r="9" spans="1:11" ht="17.100000000000001" customHeight="1" thickTop="1" thickBot="1" x14ac:dyDescent="0.35">
      <c r="A9" s="570" t="s">
        <v>121</v>
      </c>
      <c r="B9" s="570"/>
      <c r="C9" s="570"/>
      <c r="D9" s="570"/>
      <c r="E9" s="570"/>
      <c r="F9" s="570"/>
      <c r="G9" s="570"/>
      <c r="H9" s="570"/>
      <c r="I9" s="570"/>
      <c r="J9" s="570"/>
      <c r="K9" s="570"/>
    </row>
    <row r="10" spans="1:11" ht="21.6" thickTop="1" thickBot="1" x14ac:dyDescent="0.35">
      <c r="A10" s="107" t="s">
        <v>114</v>
      </c>
      <c r="B10" s="108" t="s">
        <v>58</v>
      </c>
      <c r="C10" s="108" t="s">
        <v>59</v>
      </c>
      <c r="D10" s="108" t="s">
        <v>60</v>
      </c>
      <c r="E10" s="108" t="s">
        <v>61</v>
      </c>
      <c r="F10" s="108" t="s">
        <v>62</v>
      </c>
      <c r="G10" s="108" t="s">
        <v>63</v>
      </c>
      <c r="H10" s="108" t="s">
        <v>64</v>
      </c>
      <c r="I10" s="108" t="s">
        <v>65</v>
      </c>
      <c r="J10" s="48" t="s">
        <v>69</v>
      </c>
      <c r="K10" s="49" t="s">
        <v>70</v>
      </c>
    </row>
    <row r="11" spans="1:11" ht="14.1" customHeight="1" thickTop="1" x14ac:dyDescent="0.3">
      <c r="A11" s="123" t="s">
        <v>115</v>
      </c>
      <c r="B11" s="124">
        <v>3.5882352413482419</v>
      </c>
      <c r="C11" s="124">
        <v>4.2282434152096862</v>
      </c>
      <c r="D11" s="124">
        <v>3.5869888874012448</v>
      </c>
      <c r="E11" s="124">
        <v>1.5261002068865475</v>
      </c>
      <c r="F11" s="124">
        <v>1.4320802363610818</v>
      </c>
      <c r="G11" s="124">
        <v>1.9962950759563904</v>
      </c>
      <c r="H11" s="124">
        <v>1.5942557277113505</v>
      </c>
      <c r="I11" s="124">
        <v>0.90221737729435392</v>
      </c>
      <c r="J11" s="111">
        <f>I11-H11</f>
        <v>-0.69203835041699657</v>
      </c>
      <c r="K11" s="112">
        <f>I11-E11</f>
        <v>-0.62388282959219354</v>
      </c>
    </row>
    <row r="12" spans="1:11" ht="14.1" customHeight="1" thickBot="1" x14ac:dyDescent="0.35">
      <c r="A12" s="125" t="s">
        <v>116</v>
      </c>
      <c r="B12" s="126">
        <v>21.672142114064254</v>
      </c>
      <c r="C12" s="126">
        <v>12.96369243902387</v>
      </c>
      <c r="D12" s="126">
        <v>15.859771801675373</v>
      </c>
      <c r="E12" s="126">
        <v>17.093277475718899</v>
      </c>
      <c r="F12" s="126">
        <v>16.08990808818961</v>
      </c>
      <c r="G12" s="126">
        <v>18.003349623334604</v>
      </c>
      <c r="H12" s="126">
        <v>15.410431391463261</v>
      </c>
      <c r="I12" s="126">
        <v>19.273663186311751</v>
      </c>
      <c r="J12" s="115">
        <f t="shared" ref="J12:J15" si="2">I12-H12</f>
        <v>3.86323179484849</v>
      </c>
      <c r="K12" s="116">
        <f t="shared" ref="K12:K15" si="3">I12-E12</f>
        <v>2.1803857105928515</v>
      </c>
    </row>
    <row r="13" spans="1:11" ht="14.1" customHeight="1" thickBot="1" x14ac:dyDescent="0.35">
      <c r="A13" s="128" t="s">
        <v>117</v>
      </c>
      <c r="B13" s="129">
        <v>25.260377355412523</v>
      </c>
      <c r="C13" s="129">
        <v>17.191935854233591</v>
      </c>
      <c r="D13" s="129">
        <v>19.446760689076608</v>
      </c>
      <c r="E13" s="129">
        <v>18.619377682605435</v>
      </c>
      <c r="F13" s="129">
        <v>17.521988324550676</v>
      </c>
      <c r="G13" s="129">
        <v>19.999644699290993</v>
      </c>
      <c r="H13" s="129">
        <v>17.004687119174637</v>
      </c>
      <c r="I13" s="130">
        <v>20.175880563606135</v>
      </c>
      <c r="J13" s="115">
        <f t="shared" si="2"/>
        <v>3.1711934444314984</v>
      </c>
      <c r="K13" s="117">
        <f t="shared" si="3"/>
        <v>1.5565028810007</v>
      </c>
    </row>
    <row r="14" spans="1:11" ht="14.1" customHeight="1" x14ac:dyDescent="0.3">
      <c r="A14" s="125" t="s">
        <v>118</v>
      </c>
      <c r="B14" s="126">
        <v>50.88647148319555</v>
      </c>
      <c r="C14" s="126">
        <v>49.498115397942193</v>
      </c>
      <c r="D14" s="126">
        <v>51.476510130643184</v>
      </c>
      <c r="E14" s="126">
        <v>47.149178140146716</v>
      </c>
      <c r="F14" s="126">
        <v>42.377893645400647</v>
      </c>
      <c r="G14" s="126">
        <v>38.642912991388464</v>
      </c>
      <c r="H14" s="126">
        <v>40.260499216061739</v>
      </c>
      <c r="I14" s="126">
        <v>35.448452306630401</v>
      </c>
      <c r="J14" s="118">
        <f t="shared" si="2"/>
        <v>-4.8120469094313378</v>
      </c>
      <c r="K14" s="112">
        <f t="shared" si="3"/>
        <v>-11.700725833516316</v>
      </c>
    </row>
    <row r="15" spans="1:11" ht="14.1" customHeight="1" thickBot="1" x14ac:dyDescent="0.35">
      <c r="A15" s="125" t="s">
        <v>119</v>
      </c>
      <c r="B15" s="126">
        <v>23.853151161393303</v>
      </c>
      <c r="C15" s="126">
        <v>33.309948747824308</v>
      </c>
      <c r="D15" s="126">
        <v>29.076729180280136</v>
      </c>
      <c r="E15" s="126">
        <v>34.231444177247432</v>
      </c>
      <c r="F15" s="126">
        <v>40.100118030050375</v>
      </c>
      <c r="G15" s="126">
        <v>41.357442309319921</v>
      </c>
      <c r="H15" s="126">
        <v>42.734813664764204</v>
      </c>
      <c r="I15" s="126">
        <v>44.375667129762945</v>
      </c>
      <c r="J15" s="115">
        <f t="shared" si="2"/>
        <v>1.6408534649987416</v>
      </c>
      <c r="K15" s="116">
        <f t="shared" si="3"/>
        <v>10.144222952515513</v>
      </c>
    </row>
    <row r="16" spans="1:11" ht="14.1" customHeight="1" thickBot="1" x14ac:dyDescent="0.35">
      <c r="A16" s="131" t="s">
        <v>120</v>
      </c>
      <c r="B16" s="132">
        <v>100</v>
      </c>
      <c r="C16" s="132">
        <v>100</v>
      </c>
      <c r="D16" s="132">
        <v>100</v>
      </c>
      <c r="E16" s="132">
        <v>100</v>
      </c>
      <c r="F16" s="132">
        <v>100</v>
      </c>
      <c r="G16" s="132">
        <v>100</v>
      </c>
      <c r="H16" s="132">
        <v>100</v>
      </c>
      <c r="I16" s="133">
        <v>100</v>
      </c>
      <c r="J16" s="112"/>
      <c r="K16" s="127"/>
    </row>
    <row r="17" spans="1:11" ht="54.9" customHeight="1" thickTop="1" x14ac:dyDescent="0.3">
      <c r="A17" s="568" t="s">
        <v>385</v>
      </c>
      <c r="B17" s="569"/>
      <c r="C17" s="569"/>
      <c r="D17" s="569"/>
      <c r="E17" s="569"/>
      <c r="F17" s="569"/>
      <c r="G17" s="569"/>
      <c r="H17" s="569"/>
      <c r="I17" s="569"/>
      <c r="J17" s="569"/>
      <c r="K17" s="569"/>
    </row>
  </sheetData>
  <mergeCells count="3">
    <mergeCell ref="A1:K1"/>
    <mergeCell ref="A17:K17"/>
    <mergeCell ref="A9:K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zoomScaleNormal="100" workbookViewId="0">
      <selection sqref="A1:K1"/>
    </sheetView>
  </sheetViews>
  <sheetFormatPr baseColWidth="10" defaultColWidth="9.109375" defaultRowHeight="14.4" x14ac:dyDescent="0.3"/>
  <cols>
    <col min="1" max="1" width="35" customWidth="1"/>
    <col min="2" max="10" width="9.5546875" customWidth="1"/>
  </cols>
  <sheetData>
    <row r="1" spans="1:12" ht="62.25" customHeight="1" thickBot="1" x14ac:dyDescent="0.35">
      <c r="A1" s="572" t="s">
        <v>122</v>
      </c>
      <c r="B1" s="572"/>
      <c r="C1" s="572"/>
      <c r="D1" s="572"/>
      <c r="E1" s="572"/>
      <c r="F1" s="572"/>
      <c r="G1" s="572"/>
      <c r="H1" s="572"/>
      <c r="I1" s="572"/>
      <c r="J1" s="572"/>
      <c r="K1" s="572"/>
    </row>
    <row r="2" spans="1:12" ht="21" customHeight="1" thickTop="1" thickBot="1" x14ac:dyDescent="0.35">
      <c r="A2" s="134" t="s">
        <v>123</v>
      </c>
      <c r="B2" s="135" t="s">
        <v>58</v>
      </c>
      <c r="C2" s="135" t="s">
        <v>59</v>
      </c>
      <c r="D2" s="135" t="s">
        <v>60</v>
      </c>
      <c r="E2" s="135" t="s">
        <v>61</v>
      </c>
      <c r="F2" s="135" t="s">
        <v>62</v>
      </c>
      <c r="G2" s="135" t="s">
        <v>63</v>
      </c>
      <c r="H2" s="135" t="s">
        <v>64</v>
      </c>
      <c r="I2" s="135" t="s">
        <v>65</v>
      </c>
      <c r="J2" s="157" t="s">
        <v>159</v>
      </c>
      <c r="K2" s="158" t="s">
        <v>324</v>
      </c>
    </row>
    <row r="3" spans="1:12" ht="15.75" customHeight="1" thickTop="1" x14ac:dyDescent="0.3">
      <c r="A3" s="150" t="s">
        <v>124</v>
      </c>
      <c r="B3" s="136">
        <v>51614.820041942156</v>
      </c>
      <c r="C3" s="136">
        <v>84316.597490802509</v>
      </c>
      <c r="D3" s="136">
        <v>142307.77356997333</v>
      </c>
      <c r="E3" s="136">
        <v>205520.09754717397</v>
      </c>
      <c r="F3" s="136">
        <v>176228.83250280452</v>
      </c>
      <c r="G3" s="136">
        <v>170303.85505093058</v>
      </c>
      <c r="H3" s="136">
        <v>159968.22730309467</v>
      </c>
      <c r="I3" s="136">
        <v>153746.35788835149</v>
      </c>
      <c r="J3" s="154">
        <f>((I3-H3)/H3)*100</f>
        <v>-3.8894407468518697</v>
      </c>
      <c r="K3" s="137">
        <f>((I3-E3)/E3)*100</f>
        <v>-25.191570204922957</v>
      </c>
    </row>
    <row r="4" spans="1:12" ht="15.75" customHeight="1" x14ac:dyDescent="0.3">
      <c r="A4" s="151" t="s">
        <v>125</v>
      </c>
      <c r="B4" s="138">
        <v>5078.8590298137478</v>
      </c>
      <c r="C4" s="138">
        <v>7852.9675025554197</v>
      </c>
      <c r="D4" s="138">
        <v>8056.004914160505</v>
      </c>
      <c r="E4" s="138">
        <v>11826.330527289088</v>
      </c>
      <c r="F4" s="138">
        <v>20042.16505526692</v>
      </c>
      <c r="G4" s="138">
        <v>24536.430953546718</v>
      </c>
      <c r="H4" s="138">
        <v>29448.999169191597</v>
      </c>
      <c r="I4" s="138">
        <v>23654.074688072855</v>
      </c>
      <c r="J4" s="154">
        <f t="shared" ref="J4:J7" si="0">((I4-H4)/H4)*100</f>
        <v>-19.677831656775513</v>
      </c>
      <c r="K4" s="137">
        <f t="shared" ref="K4:K7" si="1">((I4-E4)/E4)*100</f>
        <v>100.01195327233089</v>
      </c>
    </row>
    <row r="5" spans="1:12" ht="15.75" customHeight="1" x14ac:dyDescent="0.3">
      <c r="A5" s="151" t="s">
        <v>126</v>
      </c>
      <c r="B5" s="138">
        <v>8446.6604461752049</v>
      </c>
      <c r="C5" s="138">
        <v>17394.085630576948</v>
      </c>
      <c r="D5" s="138">
        <v>18642.122794528805</v>
      </c>
      <c r="E5" s="138">
        <v>33741.986700339236</v>
      </c>
      <c r="F5" s="138">
        <v>35067.950926635545</v>
      </c>
      <c r="G5" s="138">
        <v>33304.012804590253</v>
      </c>
      <c r="H5" s="138">
        <v>33865.117536701502</v>
      </c>
      <c r="I5" s="138">
        <v>41590.388794944476</v>
      </c>
      <c r="J5" s="154">
        <f t="shared" si="0"/>
        <v>22.811883791251191</v>
      </c>
      <c r="K5" s="137">
        <f t="shared" si="1"/>
        <v>23.260047383417213</v>
      </c>
    </row>
    <row r="6" spans="1:12" ht="15.75" customHeight="1" x14ac:dyDescent="0.3">
      <c r="A6" s="172" t="s">
        <v>127</v>
      </c>
      <c r="B6" s="139">
        <v>65140.339517931279</v>
      </c>
      <c r="C6" s="139">
        <v>109563.65062393453</v>
      </c>
      <c r="D6" s="139">
        <v>169005.90127866247</v>
      </c>
      <c r="E6" s="139">
        <v>251088.41477480173</v>
      </c>
      <c r="F6" s="139">
        <v>231338.94848470585</v>
      </c>
      <c r="G6" s="139">
        <v>228144.29880906807</v>
      </c>
      <c r="H6" s="139">
        <v>223282.34400898605</v>
      </c>
      <c r="I6" s="139">
        <v>218990.82137136871</v>
      </c>
      <c r="J6" s="155">
        <f t="shared" si="0"/>
        <v>-1.922016116708549</v>
      </c>
      <c r="K6" s="140">
        <f t="shared" si="1"/>
        <v>-12.783382870221619</v>
      </c>
    </row>
    <row r="7" spans="1:12" ht="15.75" customHeight="1" thickBot="1" x14ac:dyDescent="0.35">
      <c r="A7" s="152" t="s">
        <v>128</v>
      </c>
      <c r="B7" s="141">
        <v>30703.734118757213</v>
      </c>
      <c r="C7" s="141">
        <v>52919.072468688406</v>
      </c>
      <c r="D7" s="141">
        <v>81089.835796847954</v>
      </c>
      <c r="E7" s="141">
        <v>116688.43984285783</v>
      </c>
      <c r="F7" s="141">
        <v>106546.2277901835</v>
      </c>
      <c r="G7" s="141">
        <v>105713.95327420185</v>
      </c>
      <c r="H7" s="141">
        <v>104213.88859450609</v>
      </c>
      <c r="I7" s="141">
        <v>101432.16638755373</v>
      </c>
      <c r="J7" s="156">
        <f t="shared" si="0"/>
        <v>-2.6692432692690078</v>
      </c>
      <c r="K7" s="142">
        <f t="shared" si="1"/>
        <v>-13.074365786233354</v>
      </c>
    </row>
    <row r="8" spans="1:12" ht="36.75" customHeight="1" thickTop="1" x14ac:dyDescent="0.3">
      <c r="A8" s="576" t="s">
        <v>408</v>
      </c>
      <c r="B8" s="576"/>
      <c r="C8" s="576"/>
      <c r="D8" s="576"/>
      <c r="E8" s="576"/>
      <c r="F8" s="576"/>
      <c r="G8" s="576"/>
      <c r="H8" s="576"/>
      <c r="I8" s="576"/>
      <c r="J8" s="576"/>
      <c r="K8" s="576"/>
    </row>
    <row r="9" spans="1:12" ht="15.75" customHeight="1" x14ac:dyDescent="0.3"/>
    <row r="10" spans="1:12" ht="65.25" customHeight="1" thickBot="1" x14ac:dyDescent="0.35">
      <c r="A10" s="573" t="s">
        <v>409</v>
      </c>
      <c r="B10" s="573"/>
      <c r="C10" s="573"/>
      <c r="D10" s="573"/>
      <c r="E10" s="573"/>
      <c r="F10" s="573"/>
      <c r="G10" s="573"/>
      <c r="H10" s="573"/>
      <c r="I10" s="573"/>
      <c r="J10" s="573"/>
      <c r="K10" s="573"/>
      <c r="L10" s="573"/>
    </row>
    <row r="11" spans="1:12" ht="23.25" customHeight="1" thickTop="1" thickBot="1" x14ac:dyDescent="0.35">
      <c r="A11" s="134" t="s">
        <v>56</v>
      </c>
      <c r="B11" s="135" t="s">
        <v>57</v>
      </c>
      <c r="C11" s="135" t="s">
        <v>58</v>
      </c>
      <c r="D11" s="135" t="s">
        <v>59</v>
      </c>
      <c r="E11" s="135" t="s">
        <v>60</v>
      </c>
      <c r="F11" s="135" t="s">
        <v>61</v>
      </c>
      <c r="G11" s="135" t="s">
        <v>62</v>
      </c>
      <c r="H11" s="135" t="s">
        <v>63</v>
      </c>
      <c r="I11" s="135" t="s">
        <v>64</v>
      </c>
      <c r="J11" s="135" t="s">
        <v>65</v>
      </c>
      <c r="K11" s="378" t="s">
        <v>159</v>
      </c>
      <c r="L11" s="158" t="s">
        <v>324</v>
      </c>
    </row>
    <row r="12" spans="1:12" ht="21" thickTop="1" x14ac:dyDescent="0.3">
      <c r="A12" s="150" t="s">
        <v>129</v>
      </c>
      <c r="B12" s="143">
        <v>31.233848383668157</v>
      </c>
      <c r="C12" s="143">
        <v>23.524083090336806</v>
      </c>
      <c r="D12" s="143">
        <v>26.689752953227501</v>
      </c>
      <c r="E12" s="143">
        <v>33.972778406884487</v>
      </c>
      <c r="F12" s="143">
        <v>41.720752946305609</v>
      </c>
      <c r="G12" s="143">
        <v>45.764066338995057</v>
      </c>
      <c r="H12" s="143">
        <v>47.647698136997803</v>
      </c>
      <c r="I12" s="143">
        <v>44.553786536020318</v>
      </c>
      <c r="J12" s="143">
        <v>44.732514328354142</v>
      </c>
      <c r="K12" s="90">
        <f>J12-I12</f>
        <v>0.17872779233382374</v>
      </c>
      <c r="L12" s="379">
        <f>J12-F12</f>
        <v>3.0117613820485332</v>
      </c>
    </row>
    <row r="13" spans="1:12" ht="15.75" customHeight="1" x14ac:dyDescent="0.3">
      <c r="A13" s="151" t="s">
        <v>130</v>
      </c>
      <c r="B13" s="144"/>
      <c r="C13" s="145">
        <v>42.651638760485959</v>
      </c>
      <c r="D13" s="145">
        <v>29.820284574394744</v>
      </c>
      <c r="E13" s="145">
        <v>33.83555614386789</v>
      </c>
      <c r="F13" s="145">
        <v>28.523127227249617</v>
      </c>
      <c r="G13" s="145">
        <v>23.538820346308569</v>
      </c>
      <c r="H13" s="145">
        <v>21.839824334139816</v>
      </c>
      <c r="I13" s="145">
        <v>21.646516911995477</v>
      </c>
      <c r="J13" s="145">
        <v>33.290950323840477</v>
      </c>
      <c r="K13" s="92">
        <f t="shared" ref="K13:K21" si="2">J13-I13</f>
        <v>11.644433411845</v>
      </c>
      <c r="L13" s="379">
        <f t="shared" ref="L13:L21" si="3">J13-F13</f>
        <v>4.7678230965908597</v>
      </c>
    </row>
    <row r="14" spans="1:12" ht="20.399999999999999" x14ac:dyDescent="0.3">
      <c r="A14" s="151" t="s">
        <v>131</v>
      </c>
      <c r="B14" s="144"/>
      <c r="C14" s="145">
        <v>68.35319007435055</v>
      </c>
      <c r="D14" s="145">
        <v>57.606750827715011</v>
      </c>
      <c r="E14" s="145">
        <v>63.102242204340953</v>
      </c>
      <c r="F14" s="145">
        <v>57.832214322843242</v>
      </c>
      <c r="G14" s="145">
        <v>47.331566293171974</v>
      </c>
      <c r="H14" s="145">
        <v>48.100804731204214</v>
      </c>
      <c r="I14" s="145">
        <v>47.643320443378471</v>
      </c>
      <c r="J14" s="145">
        <v>48.407987100611507</v>
      </c>
      <c r="K14" s="92">
        <f t="shared" si="2"/>
        <v>0.76466665723303606</v>
      </c>
      <c r="L14" s="379">
        <f t="shared" si="3"/>
        <v>-9.4242272222317354</v>
      </c>
    </row>
    <row r="15" spans="1:12" ht="15.75" customHeight="1" x14ac:dyDescent="0.3">
      <c r="A15" s="151" t="s">
        <v>132</v>
      </c>
      <c r="B15" s="145">
        <v>51.935585305131525</v>
      </c>
      <c r="C15" s="145">
        <v>37.220613463100257</v>
      </c>
      <c r="D15" s="145">
        <v>39.306804649503462</v>
      </c>
      <c r="E15" s="145">
        <v>38.835639080621959</v>
      </c>
      <c r="F15" s="145">
        <v>38.661539123840974</v>
      </c>
      <c r="G15" s="145">
        <v>48.980251775522085</v>
      </c>
      <c r="H15" s="145">
        <v>50.648390064270757</v>
      </c>
      <c r="I15" s="145">
        <v>54.220515134327051</v>
      </c>
      <c r="J15" s="145">
        <v>57.534880912626917</v>
      </c>
      <c r="K15" s="92">
        <f t="shared" si="2"/>
        <v>3.3143657782998659</v>
      </c>
      <c r="L15" s="379">
        <f t="shared" si="3"/>
        <v>18.873341788785943</v>
      </c>
    </row>
    <row r="16" spans="1:12" ht="15.75" customHeight="1" x14ac:dyDescent="0.3">
      <c r="A16" s="151" t="s">
        <v>133</v>
      </c>
      <c r="B16" s="144"/>
      <c r="C16" s="145">
        <v>78.571484633845472</v>
      </c>
      <c r="D16" s="145">
        <v>71.682906278139555</v>
      </c>
      <c r="E16" s="145">
        <v>77.461485975890014</v>
      </c>
      <c r="F16" s="145">
        <v>73.3972945846795</v>
      </c>
      <c r="G16" s="145">
        <v>70.55246576682984</v>
      </c>
      <c r="H16" s="145">
        <v>68.924512142060664</v>
      </c>
      <c r="I16" s="145">
        <v>71.408253105812321</v>
      </c>
      <c r="J16" s="145">
        <v>72.378212051258188</v>
      </c>
      <c r="K16" s="92">
        <f t="shared" si="2"/>
        <v>0.96995894544586747</v>
      </c>
      <c r="L16" s="379">
        <f t="shared" si="3"/>
        <v>-1.0190825334213116</v>
      </c>
    </row>
    <row r="17" spans="1:12" ht="15.75" customHeight="1" x14ac:dyDescent="0.3">
      <c r="A17" s="151" t="s">
        <v>134</v>
      </c>
      <c r="B17" s="144"/>
      <c r="C17" s="145">
        <v>47.652884032768519</v>
      </c>
      <c r="D17" s="145">
        <v>39.414752543308985</v>
      </c>
      <c r="E17" s="145">
        <v>38.843936109140422</v>
      </c>
      <c r="F17" s="145">
        <v>37.000302158186024</v>
      </c>
      <c r="G17" s="145">
        <v>36.439621335021052</v>
      </c>
      <c r="H17" s="145">
        <v>41.57303308228262</v>
      </c>
      <c r="I17" s="145">
        <v>38.292558565401386</v>
      </c>
      <c r="J17" s="145">
        <v>36.555169077592296</v>
      </c>
      <c r="K17" s="92">
        <f t="shared" si="2"/>
        <v>-1.7373894878090894</v>
      </c>
      <c r="L17" s="379">
        <f t="shared" si="3"/>
        <v>-0.44513308059372747</v>
      </c>
    </row>
    <row r="18" spans="1:12" ht="20.399999999999999" x14ac:dyDescent="0.3">
      <c r="A18" s="151" t="s">
        <v>135</v>
      </c>
      <c r="B18" s="144"/>
      <c r="C18" s="145">
        <v>27.797479266886825</v>
      </c>
      <c r="D18" s="145">
        <v>19.377142167056135</v>
      </c>
      <c r="E18" s="145">
        <v>19.733461155721528</v>
      </c>
      <c r="F18" s="145">
        <v>20.287865010586316</v>
      </c>
      <c r="G18" s="145">
        <v>21.087549811974903</v>
      </c>
      <c r="H18" s="145">
        <v>22.615985493504407</v>
      </c>
      <c r="I18" s="145">
        <v>19.02782166672802</v>
      </c>
      <c r="J18" s="145">
        <v>20.068539349556101</v>
      </c>
      <c r="K18" s="92">
        <f t="shared" si="2"/>
        <v>1.0407176828280811</v>
      </c>
      <c r="L18" s="379">
        <f t="shared" si="3"/>
        <v>-0.219325661030215</v>
      </c>
    </row>
    <row r="19" spans="1:12" ht="15.75" customHeight="1" x14ac:dyDescent="0.3">
      <c r="A19" s="151" t="s">
        <v>136</v>
      </c>
      <c r="B19" s="144"/>
      <c r="C19" s="145">
        <v>11.10397217793925</v>
      </c>
      <c r="D19" s="145">
        <v>13.655840859230139</v>
      </c>
      <c r="E19" s="145">
        <v>15.630753794350074</v>
      </c>
      <c r="F19" s="145">
        <v>14.114985590390372</v>
      </c>
      <c r="G19" s="145">
        <v>16.599240599744476</v>
      </c>
      <c r="H19" s="145">
        <v>16.514405463368671</v>
      </c>
      <c r="I19" s="145">
        <v>17.597556496748304</v>
      </c>
      <c r="J19" s="145">
        <v>20.115760587861601</v>
      </c>
      <c r="K19" s="92">
        <f t="shared" si="2"/>
        <v>2.5182040911132972</v>
      </c>
      <c r="L19" s="379">
        <f t="shared" si="3"/>
        <v>6.000774997471229</v>
      </c>
    </row>
    <row r="20" spans="1:12" ht="15.75" customHeight="1" x14ac:dyDescent="0.3">
      <c r="A20" s="151" t="s">
        <v>137</v>
      </c>
      <c r="B20" s="144"/>
      <c r="C20" s="145">
        <v>10.893536011541308</v>
      </c>
      <c r="D20" s="145">
        <v>10.502495149018589</v>
      </c>
      <c r="E20" s="145">
        <v>8.4243821739688869</v>
      </c>
      <c r="F20" s="145">
        <v>7.4810506289797738</v>
      </c>
      <c r="G20" s="145">
        <v>7.5918495753032254</v>
      </c>
      <c r="H20" s="145">
        <v>9.5270778694814293</v>
      </c>
      <c r="I20" s="145">
        <v>8.078948947349252</v>
      </c>
      <c r="J20" s="145">
        <v>7.8657348545000865</v>
      </c>
      <c r="K20" s="92">
        <f t="shared" si="2"/>
        <v>-0.21321409284916548</v>
      </c>
      <c r="L20" s="379">
        <f t="shared" si="3"/>
        <v>0.38468422552031267</v>
      </c>
    </row>
    <row r="21" spans="1:12" ht="15.75" customHeight="1" thickBot="1" x14ac:dyDescent="0.35">
      <c r="A21" s="152" t="s">
        <v>138</v>
      </c>
      <c r="B21" s="146"/>
      <c r="C21" s="147">
        <v>78.00249181051943</v>
      </c>
      <c r="D21" s="147">
        <v>75.841663991751275</v>
      </c>
      <c r="E21" s="147">
        <v>75.944864031681035</v>
      </c>
      <c r="F21" s="147">
        <v>78.403963780629851</v>
      </c>
      <c r="G21" s="147">
        <v>75.808909824952295</v>
      </c>
      <c r="H21" s="147">
        <v>73.958516667149894</v>
      </c>
      <c r="I21" s="147">
        <v>74.323494555902442</v>
      </c>
      <c r="J21" s="147">
        <v>72.018504557638266</v>
      </c>
      <c r="K21" s="91">
        <f t="shared" si="2"/>
        <v>-2.3049899982641762</v>
      </c>
      <c r="L21" s="380">
        <f t="shared" si="3"/>
        <v>-6.3854592229915852</v>
      </c>
    </row>
    <row r="22" spans="1:12" ht="24.75" customHeight="1" thickTop="1" x14ac:dyDescent="0.3">
      <c r="A22" s="574" t="s">
        <v>139</v>
      </c>
      <c r="B22" s="574"/>
      <c r="C22" s="574"/>
      <c r="D22" s="574"/>
      <c r="E22" s="574"/>
      <c r="F22" s="574"/>
      <c r="G22" s="574"/>
      <c r="H22" s="574"/>
      <c r="I22" s="574"/>
      <c r="J22" s="574"/>
    </row>
    <row r="24" spans="1:12" ht="68.099999999999994" customHeight="1" thickBot="1" x14ac:dyDescent="0.35">
      <c r="A24" s="573" t="s">
        <v>157</v>
      </c>
      <c r="B24" s="573"/>
      <c r="C24" s="573"/>
      <c r="D24" s="573"/>
      <c r="E24" s="573"/>
      <c r="F24" s="573"/>
      <c r="G24" s="573"/>
      <c r="H24" s="573"/>
      <c r="I24" s="573"/>
      <c r="J24" s="573"/>
      <c r="K24" s="573"/>
      <c r="L24" s="573"/>
    </row>
    <row r="25" spans="1:12" ht="22.5" customHeight="1" thickTop="1" thickBot="1" x14ac:dyDescent="0.35">
      <c r="A25" s="161" t="s">
        <v>56</v>
      </c>
      <c r="B25" s="162" t="s">
        <v>57</v>
      </c>
      <c r="C25" s="162" t="s">
        <v>58</v>
      </c>
      <c r="D25" s="162" t="s">
        <v>59</v>
      </c>
      <c r="E25" s="162" t="s">
        <v>60</v>
      </c>
      <c r="F25" s="162" t="s">
        <v>61</v>
      </c>
      <c r="G25" s="162" t="s">
        <v>62</v>
      </c>
      <c r="H25" s="162" t="s">
        <v>63</v>
      </c>
      <c r="I25" s="162" t="s">
        <v>64</v>
      </c>
      <c r="J25" s="162" t="s">
        <v>65</v>
      </c>
      <c r="K25" s="381" t="s">
        <v>159</v>
      </c>
      <c r="L25" s="382" t="s">
        <v>324</v>
      </c>
    </row>
    <row r="26" spans="1:12" ht="22.5" customHeight="1" x14ac:dyDescent="0.3">
      <c r="A26" s="385" t="s">
        <v>160</v>
      </c>
      <c r="B26" s="384"/>
      <c r="C26" s="384"/>
      <c r="D26" s="384"/>
      <c r="E26" s="384"/>
      <c r="F26" s="384"/>
      <c r="G26" s="384"/>
      <c r="H26" s="384"/>
      <c r="I26" s="384"/>
      <c r="J26" s="384"/>
      <c r="K26" s="163"/>
      <c r="L26" s="383"/>
    </row>
    <row r="27" spans="1:12" ht="15.75" customHeight="1" x14ac:dyDescent="0.3">
      <c r="A27" s="159" t="s">
        <v>140</v>
      </c>
      <c r="B27" s="160">
        <v>3.5579357174800923</v>
      </c>
      <c r="C27" s="160">
        <v>0.58817351366506876</v>
      </c>
      <c r="D27" s="160">
        <v>0.32447768946289163</v>
      </c>
      <c r="E27" s="160">
        <v>0.88077751262716031</v>
      </c>
      <c r="F27" s="160">
        <v>0.12768093766851768</v>
      </c>
      <c r="G27" s="160">
        <v>3.2510650653051504E-2</v>
      </c>
      <c r="H27" s="160">
        <v>0.12045885208501106</v>
      </c>
      <c r="I27" s="160">
        <v>1.774981739701725E-2</v>
      </c>
      <c r="J27" s="160">
        <v>0.37113526628212767</v>
      </c>
      <c r="K27" s="92">
        <f>J27-I27</f>
        <v>0.35338544888511042</v>
      </c>
      <c r="L27" s="379">
        <f>J27-F27</f>
        <v>0.24345432861360999</v>
      </c>
    </row>
    <row r="28" spans="1:12" ht="15.75" customHeight="1" x14ac:dyDescent="0.3">
      <c r="A28" s="151" t="s">
        <v>141</v>
      </c>
      <c r="B28" s="144"/>
      <c r="C28" s="145">
        <v>0</v>
      </c>
      <c r="D28" s="145">
        <v>4.0621179388096756E-2</v>
      </c>
      <c r="E28" s="145">
        <v>0.22906854219935791</v>
      </c>
      <c r="F28" s="145">
        <v>0</v>
      </c>
      <c r="G28" s="145">
        <v>0</v>
      </c>
      <c r="H28" s="145">
        <v>0</v>
      </c>
      <c r="I28" s="145">
        <v>0</v>
      </c>
      <c r="J28" s="145">
        <v>0</v>
      </c>
      <c r="K28" s="92">
        <f t="shared" ref="K28:K35" si="4">J28-I28</f>
        <v>0</v>
      </c>
      <c r="L28" s="379">
        <f t="shared" ref="L28:L35" si="5">J28-F28</f>
        <v>0</v>
      </c>
    </row>
    <row r="29" spans="1:12" ht="15.75" customHeight="1" x14ac:dyDescent="0.3">
      <c r="A29" s="151" t="s">
        <v>142</v>
      </c>
      <c r="B29" s="145">
        <v>4.6543837216728718</v>
      </c>
      <c r="C29" s="145">
        <v>0.40413778372247389</v>
      </c>
      <c r="D29" s="145">
        <v>0.34239343628786029</v>
      </c>
      <c r="E29" s="145">
        <v>0.94734914986283991</v>
      </c>
      <c r="F29" s="145">
        <v>0.36886482024707495</v>
      </c>
      <c r="G29" s="145">
        <v>9.095821658933613E-3</v>
      </c>
      <c r="H29" s="145">
        <v>1.6912240543743396E-2</v>
      </c>
      <c r="I29" s="145">
        <v>4.0363553021111949E-2</v>
      </c>
      <c r="J29" s="145">
        <v>0</v>
      </c>
      <c r="K29" s="92">
        <f t="shared" si="4"/>
        <v>-4.0363553021111949E-2</v>
      </c>
      <c r="L29" s="379">
        <f t="shared" si="5"/>
        <v>-0.36886482024707495</v>
      </c>
    </row>
    <row r="30" spans="1:12" ht="15.75" customHeight="1" x14ac:dyDescent="0.3">
      <c r="A30" s="151" t="s">
        <v>143</v>
      </c>
      <c r="B30" s="144"/>
      <c r="C30" s="145">
        <v>0.40413778372247389</v>
      </c>
      <c r="D30" s="145">
        <v>0.34239343628786029</v>
      </c>
      <c r="E30" s="145">
        <v>0.94734914986283991</v>
      </c>
      <c r="F30" s="145">
        <v>0.36886482024707495</v>
      </c>
      <c r="G30" s="145">
        <v>9.095821658933613E-3</v>
      </c>
      <c r="H30" s="145">
        <v>1.6912240543743396E-2</v>
      </c>
      <c r="I30" s="145">
        <v>4.0363553021111949E-2</v>
      </c>
      <c r="J30" s="145">
        <v>0</v>
      </c>
      <c r="K30" s="92">
        <f t="shared" si="4"/>
        <v>-4.0363553021111949E-2</v>
      </c>
      <c r="L30" s="379">
        <f t="shared" si="5"/>
        <v>-0.36886482024707495</v>
      </c>
    </row>
    <row r="31" spans="1:12" ht="15.75" customHeight="1" x14ac:dyDescent="0.3">
      <c r="A31" s="164" t="s">
        <v>388</v>
      </c>
      <c r="B31" s="144"/>
      <c r="C31" s="145"/>
      <c r="D31" s="145"/>
      <c r="E31" s="145"/>
      <c r="F31" s="145"/>
      <c r="G31" s="145"/>
      <c r="H31" s="145"/>
      <c r="I31" s="145"/>
      <c r="J31" s="145"/>
      <c r="K31" s="92"/>
      <c r="L31" s="379"/>
    </row>
    <row r="32" spans="1:12" ht="15.75" customHeight="1" x14ac:dyDescent="0.3">
      <c r="A32" s="151" t="s">
        <v>144</v>
      </c>
      <c r="B32" s="145">
        <v>29.895969109295685</v>
      </c>
      <c r="C32" s="145">
        <v>5.0825768481069957</v>
      </c>
      <c r="D32" s="145">
        <v>8.8538300064925561</v>
      </c>
      <c r="E32" s="145">
        <v>9.6010593155497865</v>
      </c>
      <c r="F32" s="145">
        <v>7.6930877507940574</v>
      </c>
      <c r="G32" s="145">
        <v>8.7820205325955971</v>
      </c>
      <c r="H32" s="145">
        <v>11.800057581018633</v>
      </c>
      <c r="I32" s="145">
        <v>12.297958266331076</v>
      </c>
      <c r="J32" s="145">
        <v>14.175898137892235</v>
      </c>
      <c r="K32" s="92">
        <f t="shared" si="4"/>
        <v>1.8779398715611588</v>
      </c>
      <c r="L32" s="379">
        <f t="shared" si="5"/>
        <v>6.4828103870981773</v>
      </c>
    </row>
    <row r="33" spans="1:12" ht="15.75" customHeight="1" x14ac:dyDescent="0.3">
      <c r="A33" s="151" t="s">
        <v>145</v>
      </c>
      <c r="B33" s="145">
        <v>44.093680173716592</v>
      </c>
      <c r="C33" s="145">
        <v>32.454350162682083</v>
      </c>
      <c r="D33" s="145">
        <v>28.509656539141854</v>
      </c>
      <c r="E33" s="145">
        <v>21.336208287606471</v>
      </c>
      <c r="F33" s="145">
        <v>14.996182816514594</v>
      </c>
      <c r="G33" s="145">
        <v>14.886428320363237</v>
      </c>
      <c r="H33" s="145">
        <v>13.262468129443425</v>
      </c>
      <c r="I33" s="145">
        <v>12.718987031665465</v>
      </c>
      <c r="J33" s="145">
        <v>13.148444677862086</v>
      </c>
      <c r="K33" s="92">
        <f t="shared" si="4"/>
        <v>0.42945764619662086</v>
      </c>
      <c r="L33" s="379">
        <f t="shared" si="5"/>
        <v>-1.8477381386525078</v>
      </c>
    </row>
    <row r="34" spans="1:12" ht="15.75" customHeight="1" x14ac:dyDescent="0.3">
      <c r="A34" s="151" t="s">
        <v>146</v>
      </c>
      <c r="B34" s="144"/>
      <c r="C34" s="145">
        <v>20.240589252710208</v>
      </c>
      <c r="D34" s="145">
        <v>20.218233986623975</v>
      </c>
      <c r="E34" s="145">
        <v>16.038782354870822</v>
      </c>
      <c r="F34" s="145">
        <v>11.019367196957379</v>
      </c>
      <c r="G34" s="145">
        <v>13.860365541851763</v>
      </c>
      <c r="H34" s="145">
        <v>8.4970511802896294</v>
      </c>
      <c r="I34" s="145">
        <v>9.1800945853457296</v>
      </c>
      <c r="J34" s="145">
        <v>9.1851439064505662</v>
      </c>
      <c r="K34" s="92">
        <f t="shared" si="4"/>
        <v>5.0493211048365794E-3</v>
      </c>
      <c r="L34" s="379">
        <f t="shared" si="5"/>
        <v>-1.834223290506813</v>
      </c>
    </row>
    <row r="35" spans="1:12" ht="15.75" customHeight="1" thickBot="1" x14ac:dyDescent="0.35">
      <c r="A35" s="153" t="s">
        <v>147</v>
      </c>
      <c r="B35" s="148"/>
      <c r="C35" s="148" t="s">
        <v>89</v>
      </c>
      <c r="D35" s="148" t="s">
        <v>89</v>
      </c>
      <c r="E35" s="149">
        <v>8.8012558470274858</v>
      </c>
      <c r="F35" s="149">
        <v>5.6866451539639655</v>
      </c>
      <c r="G35" s="149">
        <v>12.229797322640446</v>
      </c>
      <c r="H35" s="149">
        <v>3.3268282883875329</v>
      </c>
      <c r="I35" s="149">
        <v>5.4222041759338566</v>
      </c>
      <c r="J35" s="149">
        <v>4.0427016473978536</v>
      </c>
      <c r="K35" s="91">
        <f t="shared" si="4"/>
        <v>-1.379502528536003</v>
      </c>
      <c r="L35" s="380">
        <f t="shared" si="5"/>
        <v>-1.6439435065661119</v>
      </c>
    </row>
    <row r="36" spans="1:12" ht="25.5" customHeight="1" thickTop="1" x14ac:dyDescent="0.3">
      <c r="A36" s="575" t="s">
        <v>139</v>
      </c>
      <c r="B36" s="574"/>
      <c r="C36" s="574"/>
      <c r="D36" s="574"/>
      <c r="E36" s="574"/>
      <c r="F36" s="574"/>
      <c r="G36" s="574"/>
      <c r="H36" s="574"/>
      <c r="I36" s="574"/>
      <c r="J36" s="574"/>
    </row>
    <row r="38" spans="1:12" ht="60.75" customHeight="1" thickBot="1" x14ac:dyDescent="0.35">
      <c r="A38" s="573" t="s">
        <v>158</v>
      </c>
      <c r="B38" s="573"/>
      <c r="C38" s="573"/>
      <c r="D38" s="573"/>
      <c r="E38" s="573"/>
      <c r="F38" s="573"/>
      <c r="G38" s="573"/>
      <c r="H38" s="573"/>
      <c r="I38" s="573"/>
      <c r="J38" s="573"/>
      <c r="K38" s="573"/>
      <c r="L38" s="573"/>
    </row>
    <row r="39" spans="1:12" ht="21" customHeight="1" thickTop="1" thickBot="1" x14ac:dyDescent="0.35">
      <c r="A39" s="161" t="s">
        <v>56</v>
      </c>
      <c r="B39" s="162" t="s">
        <v>57</v>
      </c>
      <c r="C39" s="162" t="s">
        <v>58</v>
      </c>
      <c r="D39" s="162" t="s">
        <v>59</v>
      </c>
      <c r="E39" s="162" t="s">
        <v>60</v>
      </c>
      <c r="F39" s="162" t="s">
        <v>61</v>
      </c>
      <c r="G39" s="162" t="s">
        <v>62</v>
      </c>
      <c r="H39" s="162" t="s">
        <v>63</v>
      </c>
      <c r="I39" s="162" t="s">
        <v>64</v>
      </c>
      <c r="J39" s="162" t="s">
        <v>65</v>
      </c>
      <c r="K39" s="381" t="s">
        <v>159</v>
      </c>
      <c r="L39" s="382" t="s">
        <v>324</v>
      </c>
    </row>
    <row r="40" spans="1:12" ht="15.75" customHeight="1" x14ac:dyDescent="0.3">
      <c r="A40" s="159" t="s">
        <v>148</v>
      </c>
      <c r="B40" s="160"/>
      <c r="C40" s="160">
        <v>9.8312766041669553E-2</v>
      </c>
      <c r="D40" s="160">
        <v>5.3076730416340388E-2</v>
      </c>
      <c r="E40" s="160">
        <v>0.79127175500683933</v>
      </c>
      <c r="F40" s="160">
        <v>0.10962277064162171</v>
      </c>
      <c r="G40" s="160">
        <v>2.8009514066173031E-3</v>
      </c>
      <c r="H40" s="160">
        <v>1.4139666948557604E-2</v>
      </c>
      <c r="I40" s="160">
        <v>8.1488870366208624E-2</v>
      </c>
      <c r="J40" s="160">
        <v>1.7695435185783117E-2</v>
      </c>
      <c r="K40" s="92">
        <f>J40-I40</f>
        <v>-6.3793435180425503E-2</v>
      </c>
      <c r="L40" s="379">
        <f>J40-F40</f>
        <v>-9.1927335455838588E-2</v>
      </c>
    </row>
    <row r="41" spans="1:12" ht="15.75" customHeight="1" x14ac:dyDescent="0.3">
      <c r="A41" s="151" t="s">
        <v>149</v>
      </c>
      <c r="B41" s="145">
        <v>5.7773878283536115</v>
      </c>
      <c r="C41" s="145">
        <v>8.3067988766392348E-2</v>
      </c>
      <c r="D41" s="145">
        <v>0.11882996423931648</v>
      </c>
      <c r="E41" s="145">
        <v>6.1770079185471307E-3</v>
      </c>
      <c r="F41" s="145">
        <v>4.8696668822931749E-2</v>
      </c>
      <c r="G41" s="145">
        <v>1.2230425949563936E-2</v>
      </c>
      <c r="H41" s="145">
        <v>2.8102588386634753E-2</v>
      </c>
      <c r="I41" s="145">
        <v>4.1859918040518078E-2</v>
      </c>
      <c r="J41" s="145">
        <v>3.5864142397595208E-2</v>
      </c>
      <c r="K41" s="92">
        <f t="shared" ref="K41:K47" si="6">J41-I41</f>
        <v>-5.9957756429228695E-3</v>
      </c>
      <c r="L41" s="379">
        <f t="shared" ref="L41:L47" si="7">J41-F41</f>
        <v>-1.2832526425336541E-2</v>
      </c>
    </row>
    <row r="42" spans="1:12" ht="15.75" customHeight="1" x14ac:dyDescent="0.3">
      <c r="A42" s="151" t="s">
        <v>150</v>
      </c>
      <c r="B42" s="145">
        <v>6.043296709450396</v>
      </c>
      <c r="C42" s="145">
        <v>0.60619220286411279</v>
      </c>
      <c r="D42" s="145">
        <v>0.32941534924462906</v>
      </c>
      <c r="E42" s="145">
        <v>0.32070461547307888</v>
      </c>
      <c r="F42" s="145">
        <v>0.12000302925537683</v>
      </c>
      <c r="G42" s="145">
        <v>0.12277109029889906</v>
      </c>
      <c r="H42" s="145">
        <v>3.0584437556297844E-2</v>
      </c>
      <c r="I42" s="145">
        <v>0.14530500243949324</v>
      </c>
      <c r="J42" s="145">
        <v>0.41539620937933286</v>
      </c>
      <c r="K42" s="92">
        <f t="shared" si="6"/>
        <v>0.27009120693983962</v>
      </c>
      <c r="L42" s="379">
        <f t="shared" si="7"/>
        <v>0.29539318012395605</v>
      </c>
    </row>
    <row r="43" spans="1:12" ht="15.75" customHeight="1" x14ac:dyDescent="0.3">
      <c r="A43" s="151" t="s">
        <v>151</v>
      </c>
      <c r="B43" s="144"/>
      <c r="C43" s="145">
        <v>4.559243433411142</v>
      </c>
      <c r="D43" s="145">
        <v>5.1860021118254913</v>
      </c>
      <c r="E43" s="145">
        <v>5.0829434288960949</v>
      </c>
      <c r="F43" s="145">
        <v>1.7716056343755497</v>
      </c>
      <c r="G43" s="145">
        <v>0.90365574893175193</v>
      </c>
      <c r="H43" s="145">
        <v>0.64734928304579065</v>
      </c>
      <c r="I43" s="145">
        <v>0.99428887072013061</v>
      </c>
      <c r="J43" s="145">
        <v>0.59097342396749164</v>
      </c>
      <c r="K43" s="92">
        <f t="shared" si="6"/>
        <v>-0.40331544675263897</v>
      </c>
      <c r="L43" s="379">
        <f t="shared" si="7"/>
        <v>-1.1806322104080582</v>
      </c>
    </row>
    <row r="44" spans="1:12" ht="15.75" customHeight="1" x14ac:dyDescent="0.3">
      <c r="A44" s="151" t="s">
        <v>152</v>
      </c>
      <c r="B44" s="145">
        <v>26.429682706907048</v>
      </c>
      <c r="C44" s="145">
        <v>0.70702649162806452</v>
      </c>
      <c r="D44" s="145">
        <v>0.37514347484321819</v>
      </c>
      <c r="E44" s="145">
        <v>1.1722832128518799</v>
      </c>
      <c r="F44" s="145">
        <v>0.4081917629718666</v>
      </c>
      <c r="G44" s="145">
        <v>0.11811997390088445</v>
      </c>
      <c r="H44" s="145">
        <v>6.2936573428169953E-2</v>
      </c>
      <c r="I44" s="145">
        <v>0.47222138270455571</v>
      </c>
      <c r="J44" s="145">
        <v>0.52449665710315807</v>
      </c>
      <c r="K44" s="92">
        <f t="shared" si="6"/>
        <v>5.2275274398602356E-2</v>
      </c>
      <c r="L44" s="379">
        <f t="shared" si="7"/>
        <v>0.11630489413129147</v>
      </c>
    </row>
    <row r="45" spans="1:12" ht="15.75" customHeight="1" thickBot="1" x14ac:dyDescent="0.35">
      <c r="A45" s="151" t="s">
        <v>153</v>
      </c>
      <c r="B45" s="144"/>
      <c r="C45" s="144"/>
      <c r="D45" s="144"/>
      <c r="E45" s="145">
        <v>1.8660013395785366</v>
      </c>
      <c r="F45" s="145">
        <v>0.58001503318989822</v>
      </c>
      <c r="G45" s="145">
        <v>0.21448143187396382</v>
      </c>
      <c r="H45" s="145">
        <v>0.15112345730465152</v>
      </c>
      <c r="I45" s="145">
        <v>0.32598989746242202</v>
      </c>
      <c r="J45" s="145">
        <v>1.9575146651540607</v>
      </c>
      <c r="K45" s="92">
        <f t="shared" si="6"/>
        <v>1.6315247676916387</v>
      </c>
      <c r="L45" s="379">
        <f t="shared" si="7"/>
        <v>1.3774996319641626</v>
      </c>
    </row>
    <row r="46" spans="1:12" ht="19.5" customHeight="1" x14ac:dyDescent="0.3">
      <c r="A46" s="165" t="s">
        <v>154</v>
      </c>
      <c r="B46" s="166"/>
      <c r="C46" s="167">
        <v>0.37079984182309905</v>
      </c>
      <c r="D46" s="167">
        <v>0.23220362540495323</v>
      </c>
      <c r="E46" s="167">
        <v>0.88123458103701535</v>
      </c>
      <c r="F46" s="167">
        <v>7.5324932803090286E-2</v>
      </c>
      <c r="G46" s="167">
        <v>7.4811273473034418E-3</v>
      </c>
      <c r="H46" s="167">
        <v>0.1158804269455445</v>
      </c>
      <c r="I46" s="167">
        <v>4.3742004683799775E-2</v>
      </c>
      <c r="J46" s="167">
        <v>6.1276026193586366E-2</v>
      </c>
      <c r="K46" s="90">
        <f t="shared" si="6"/>
        <v>1.7534021509786592E-2</v>
      </c>
      <c r="L46" s="386">
        <f t="shared" si="7"/>
        <v>-1.4048906609503919E-2</v>
      </c>
    </row>
    <row r="47" spans="1:12" ht="15.75" customHeight="1" x14ac:dyDescent="0.3">
      <c r="A47" s="168" t="s">
        <v>155</v>
      </c>
      <c r="B47" s="169"/>
      <c r="C47" s="170">
        <v>2.1584848651293154</v>
      </c>
      <c r="D47" s="170">
        <v>1.6886299671595242</v>
      </c>
      <c r="E47" s="170">
        <v>2.1294053436861557</v>
      </c>
      <c r="F47" s="170">
        <v>1.0948901411145759</v>
      </c>
      <c r="G47" s="170">
        <v>0.59923989471311934</v>
      </c>
      <c r="H47" s="170">
        <v>0.70066202828478763</v>
      </c>
      <c r="I47" s="170">
        <v>0.34612361291761157</v>
      </c>
      <c r="J47" s="170">
        <v>0.86784104176472965</v>
      </c>
      <c r="K47" s="387">
        <f t="shared" si="6"/>
        <v>0.52171742884711803</v>
      </c>
      <c r="L47" s="388">
        <f t="shared" si="7"/>
        <v>-0.2270490993498463</v>
      </c>
    </row>
    <row r="48" spans="1:12" ht="15.75" customHeight="1" thickBot="1" x14ac:dyDescent="0.35">
      <c r="A48" s="152" t="s">
        <v>156</v>
      </c>
      <c r="B48" s="146"/>
      <c r="C48" s="147">
        <v>2.5292847069524149</v>
      </c>
      <c r="D48" s="147">
        <v>1.9208335925644784</v>
      </c>
      <c r="E48" s="147">
        <v>3.0106399247231725</v>
      </c>
      <c r="F48" s="147">
        <v>1.1702150739176669</v>
      </c>
      <c r="G48" s="147">
        <v>0.60672102206042278</v>
      </c>
      <c r="H48" s="147">
        <v>0.8165424552303322</v>
      </c>
      <c r="I48" s="147">
        <v>0.38986561760141125</v>
      </c>
      <c r="J48" s="147">
        <v>0.9291170679583165</v>
      </c>
      <c r="K48" s="91">
        <f t="shared" ref="K48" si="8">J48-I48</f>
        <v>0.53925145035690525</v>
      </c>
      <c r="L48" s="380">
        <f t="shared" ref="L48" si="9">J48-F48</f>
        <v>-0.24109800595935038</v>
      </c>
    </row>
    <row r="49" spans="1:12" ht="42" customHeight="1" thickTop="1" x14ac:dyDescent="0.3">
      <c r="A49" s="571" t="s">
        <v>386</v>
      </c>
      <c r="B49" s="571"/>
      <c r="C49" s="571"/>
      <c r="D49" s="571"/>
      <c r="E49" s="571"/>
      <c r="F49" s="571"/>
      <c r="G49" s="571"/>
      <c r="H49" s="571"/>
      <c r="I49" s="571"/>
      <c r="J49" s="571"/>
      <c r="K49" s="571"/>
      <c r="L49" s="571"/>
    </row>
  </sheetData>
  <mergeCells count="8">
    <mergeCell ref="A49:L49"/>
    <mergeCell ref="A1:K1"/>
    <mergeCell ref="A10:L10"/>
    <mergeCell ref="A24:L24"/>
    <mergeCell ref="A38:L38"/>
    <mergeCell ref="A22:J22"/>
    <mergeCell ref="A36:J36"/>
    <mergeCell ref="A8:K8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opLeftCell="A5" zoomScale="110" zoomScaleNormal="110" workbookViewId="0">
      <selection sqref="A1:K1"/>
    </sheetView>
  </sheetViews>
  <sheetFormatPr baseColWidth="10" defaultColWidth="9.109375" defaultRowHeight="14.4" x14ac:dyDescent="0.3"/>
  <cols>
    <col min="1" max="1" width="19" customWidth="1"/>
    <col min="2" max="11" width="10.33203125" customWidth="1"/>
  </cols>
  <sheetData>
    <row r="1" spans="1:12" ht="69" customHeight="1" thickBot="1" x14ac:dyDescent="0.35">
      <c r="A1" s="578" t="s">
        <v>161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</row>
    <row r="2" spans="1:12" ht="21.6" thickTop="1" thickBot="1" x14ac:dyDescent="0.35">
      <c r="A2" s="173" t="s">
        <v>162</v>
      </c>
      <c r="B2" s="171" t="s">
        <v>58</v>
      </c>
      <c r="C2" s="171" t="s">
        <v>59</v>
      </c>
      <c r="D2" s="171" t="s">
        <v>60</v>
      </c>
      <c r="E2" s="171" t="s">
        <v>61</v>
      </c>
      <c r="F2" s="171" t="s">
        <v>62</v>
      </c>
      <c r="G2" s="171" t="s">
        <v>63</v>
      </c>
      <c r="H2" s="171" t="s">
        <v>64</v>
      </c>
      <c r="I2" s="171" t="s">
        <v>65</v>
      </c>
      <c r="J2" s="157" t="s">
        <v>159</v>
      </c>
      <c r="K2" s="158" t="s">
        <v>324</v>
      </c>
    </row>
    <row r="3" spans="1:12" ht="14.1" customHeight="1" thickTop="1" x14ac:dyDescent="0.3">
      <c r="A3" s="194" t="s">
        <v>163</v>
      </c>
      <c r="B3" s="182">
        <v>185359.84577437289</v>
      </c>
      <c r="C3" s="182">
        <v>106375.75799250914</v>
      </c>
      <c r="D3" s="182">
        <v>93834.672364262588</v>
      </c>
      <c r="E3" s="182">
        <v>89706.381826434954</v>
      </c>
      <c r="F3" s="182">
        <v>114695.84023198631</v>
      </c>
      <c r="G3" s="182">
        <v>127398.56620369537</v>
      </c>
      <c r="H3" s="182">
        <v>122565.8022813869</v>
      </c>
      <c r="I3" s="182">
        <v>130965.39821859267</v>
      </c>
      <c r="J3" s="154">
        <f>((I3-H3)/H3)*100</f>
        <v>6.8531317715539881</v>
      </c>
      <c r="K3" s="137">
        <f>((I3-E3)/E3)*100</f>
        <v>45.993401530769781</v>
      </c>
    </row>
    <row r="4" spans="1:12" ht="14.1" customHeight="1" thickBot="1" x14ac:dyDescent="0.35">
      <c r="A4" s="195" t="s">
        <v>116</v>
      </c>
      <c r="B4" s="183">
        <v>165354.95788089049</v>
      </c>
      <c r="C4" s="183">
        <v>120606.75697035188</v>
      </c>
      <c r="D4" s="183">
        <v>139148.92167744131</v>
      </c>
      <c r="E4" s="183">
        <v>85961.549878660371</v>
      </c>
      <c r="F4" s="183">
        <v>103535.81263769968</v>
      </c>
      <c r="G4" s="183">
        <v>120555.39728114425</v>
      </c>
      <c r="H4" s="183">
        <v>107950.1457915214</v>
      </c>
      <c r="I4" s="183">
        <v>139328.38522331641</v>
      </c>
      <c r="J4" s="154">
        <f t="shared" ref="J4:J9" si="0">((I4-H4)/H4)*100</f>
        <v>29.06734326454195</v>
      </c>
      <c r="K4" s="137">
        <f t="shared" ref="K4:K9" si="1">((I4-E4)/E4)*100</f>
        <v>62.082216316465164</v>
      </c>
    </row>
    <row r="5" spans="1:12" ht="14.1" customHeight="1" thickBot="1" x14ac:dyDescent="0.35">
      <c r="A5" s="196" t="s">
        <v>117</v>
      </c>
      <c r="B5" s="184">
        <v>350714.80365526339</v>
      </c>
      <c r="C5" s="184">
        <v>226982.51496286102</v>
      </c>
      <c r="D5" s="184">
        <v>232983.59404170391</v>
      </c>
      <c r="E5" s="184">
        <v>175667.93170509534</v>
      </c>
      <c r="F5" s="184">
        <v>218231.65286968599</v>
      </c>
      <c r="G5" s="184">
        <v>247953.96348483962</v>
      </c>
      <c r="H5" s="184">
        <v>230515.9480729083</v>
      </c>
      <c r="I5" s="184">
        <v>270293.78344190907</v>
      </c>
      <c r="J5" s="174">
        <f t="shared" si="0"/>
        <v>17.256001461738215</v>
      </c>
      <c r="K5" s="175">
        <f t="shared" si="1"/>
        <v>53.866320857962855</v>
      </c>
    </row>
    <row r="6" spans="1:12" ht="14.1" customHeight="1" x14ac:dyDescent="0.3">
      <c r="A6" s="195" t="s">
        <v>164</v>
      </c>
      <c r="B6" s="183">
        <v>621877.2974617813</v>
      </c>
      <c r="C6" s="183">
        <v>451190.24244051147</v>
      </c>
      <c r="D6" s="183">
        <v>430594.87132046308</v>
      </c>
      <c r="E6" s="183">
        <v>416086.70397273742</v>
      </c>
      <c r="F6" s="183">
        <v>392110.7763621835</v>
      </c>
      <c r="G6" s="183">
        <v>424111.30910249642</v>
      </c>
      <c r="H6" s="183">
        <v>313753.40489273972</v>
      </c>
      <c r="I6" s="183">
        <v>384413.57310525107</v>
      </c>
      <c r="J6" s="154">
        <f t="shared" si="0"/>
        <v>22.520924748742519</v>
      </c>
      <c r="K6" s="137">
        <f t="shared" si="1"/>
        <v>-7.612146835040809</v>
      </c>
    </row>
    <row r="7" spans="1:12" ht="14.1" customHeight="1" x14ac:dyDescent="0.3">
      <c r="A7" s="195" t="s">
        <v>165</v>
      </c>
      <c r="B7" s="183">
        <v>723264.37431688909</v>
      </c>
      <c r="C7" s="183">
        <v>782333.67082136485</v>
      </c>
      <c r="D7" s="183">
        <v>863389.93846286042</v>
      </c>
      <c r="E7" s="183">
        <v>872089.46006218635</v>
      </c>
      <c r="F7" s="183">
        <v>748213.59149752301</v>
      </c>
      <c r="G7" s="183">
        <v>650989.17422186455</v>
      </c>
      <c r="H7" s="183">
        <v>731159.44556011073</v>
      </c>
      <c r="I7" s="183">
        <v>614312.06852212269</v>
      </c>
      <c r="J7" s="154">
        <f t="shared" si="0"/>
        <v>-15.981107506376555</v>
      </c>
      <c r="K7" s="137">
        <f t="shared" si="1"/>
        <v>-29.55859500029759</v>
      </c>
    </row>
    <row r="8" spans="1:12" ht="14.1" customHeight="1" thickBot="1" x14ac:dyDescent="0.35">
      <c r="A8" s="195" t="s">
        <v>166</v>
      </c>
      <c r="B8" s="183">
        <v>425720.63521910144</v>
      </c>
      <c r="C8" s="183">
        <v>609893.62817765947</v>
      </c>
      <c r="D8" s="183">
        <v>557212.67285229487</v>
      </c>
      <c r="E8" s="183">
        <v>687940.73498475493</v>
      </c>
      <c r="F8" s="183">
        <v>812698.21588493336</v>
      </c>
      <c r="G8" s="183">
        <v>835074.08535630978</v>
      </c>
      <c r="H8" s="183">
        <v>867110.42556711764</v>
      </c>
      <c r="I8" s="183">
        <v>889968.48942191666</v>
      </c>
      <c r="J8" s="154">
        <f t="shared" si="0"/>
        <v>2.6361191355586717</v>
      </c>
      <c r="K8" s="137">
        <f t="shared" si="1"/>
        <v>29.367028896993396</v>
      </c>
    </row>
    <row r="9" spans="1:12" ht="14.1" customHeight="1" thickBot="1" x14ac:dyDescent="0.35">
      <c r="A9" s="544" t="s">
        <v>120</v>
      </c>
      <c r="B9" s="185">
        <v>2121577.1106530097</v>
      </c>
      <c r="C9" s="185">
        <v>2070400.0564023941</v>
      </c>
      <c r="D9" s="185">
        <v>2084181.0766773259</v>
      </c>
      <c r="E9" s="185">
        <v>2151784.8307247828</v>
      </c>
      <c r="F9" s="185">
        <v>2171254.2366142925</v>
      </c>
      <c r="G9" s="185">
        <v>2158128.5321655245</v>
      </c>
      <c r="H9" s="185">
        <v>2142539.2240928588</v>
      </c>
      <c r="I9" s="185">
        <v>2158987.9144912139</v>
      </c>
      <c r="J9" s="176">
        <f t="shared" si="0"/>
        <v>0.76771945238572303</v>
      </c>
      <c r="K9" s="177">
        <f t="shared" si="1"/>
        <v>0.33474925854946552</v>
      </c>
    </row>
    <row r="10" spans="1:12" ht="30" customHeight="1" thickTop="1" x14ac:dyDescent="0.3">
      <c r="A10" s="579" t="s">
        <v>167</v>
      </c>
      <c r="B10" s="579"/>
      <c r="C10" s="579"/>
      <c r="D10" s="579"/>
      <c r="E10" s="579"/>
      <c r="F10" s="579"/>
      <c r="G10" s="579"/>
      <c r="H10" s="579"/>
      <c r="I10" s="579"/>
      <c r="J10" s="579"/>
      <c r="K10" s="579"/>
    </row>
    <row r="12" spans="1:12" ht="69" customHeight="1" thickBot="1" x14ac:dyDescent="0.35">
      <c r="A12" s="580" t="s">
        <v>410</v>
      </c>
      <c r="B12" s="581"/>
      <c r="C12" s="581"/>
      <c r="D12" s="581"/>
      <c r="E12" s="581"/>
      <c r="F12" s="581"/>
      <c r="G12" s="581"/>
      <c r="H12" s="581"/>
      <c r="I12" s="581"/>
      <c r="J12" s="581"/>
      <c r="K12" s="581"/>
      <c r="L12" s="581"/>
    </row>
    <row r="13" spans="1:12" ht="21.6" thickTop="1" thickBot="1" x14ac:dyDescent="0.35">
      <c r="A13" s="173" t="s">
        <v>162</v>
      </c>
      <c r="B13" s="171" t="s">
        <v>57</v>
      </c>
      <c r="C13" s="171" t="s">
        <v>58</v>
      </c>
      <c r="D13" s="171" t="s">
        <v>59</v>
      </c>
      <c r="E13" s="171" t="s">
        <v>60</v>
      </c>
      <c r="F13" s="171" t="s">
        <v>61</v>
      </c>
      <c r="G13" s="171" t="s">
        <v>62</v>
      </c>
      <c r="H13" s="171" t="s">
        <v>63</v>
      </c>
      <c r="I13" s="171" t="s">
        <v>64</v>
      </c>
      <c r="J13" s="171" t="s">
        <v>65</v>
      </c>
      <c r="K13" s="390" t="s">
        <v>159</v>
      </c>
      <c r="L13" s="158" t="s">
        <v>324</v>
      </c>
    </row>
    <row r="14" spans="1:12" ht="14.1" customHeight="1" thickTop="1" x14ac:dyDescent="0.3">
      <c r="A14" s="194" t="s">
        <v>163</v>
      </c>
      <c r="B14" s="186">
        <v>16.130115389979824</v>
      </c>
      <c r="C14" s="186">
        <v>8.7368894038133806</v>
      </c>
      <c r="D14" s="186">
        <v>5.1379325296847078</v>
      </c>
      <c r="E14" s="186">
        <v>4.5022322395258048</v>
      </c>
      <c r="F14" s="186">
        <v>4.1689290000347885</v>
      </c>
      <c r="G14" s="186">
        <v>5.2824693809618202</v>
      </c>
      <c r="H14" s="186">
        <v>5.9031964178639633</v>
      </c>
      <c r="I14" s="186">
        <v>5.7205861579164647</v>
      </c>
      <c r="J14" s="186">
        <v>6.0660551798158595</v>
      </c>
      <c r="K14" s="90">
        <f>J14-I14</f>
        <v>0.34546902189939477</v>
      </c>
      <c r="L14" s="379">
        <f>J14-F14</f>
        <v>1.897126179781071</v>
      </c>
    </row>
    <row r="15" spans="1:12" ht="14.1" customHeight="1" thickBot="1" x14ac:dyDescent="0.35">
      <c r="A15" s="195" t="s">
        <v>116</v>
      </c>
      <c r="B15" s="187">
        <v>13.129776418554265</v>
      </c>
      <c r="C15" s="187">
        <v>7.7939640775062449</v>
      </c>
      <c r="D15" s="187">
        <v>5.8252875620532381</v>
      </c>
      <c r="E15" s="187">
        <v>6.6764314883463669</v>
      </c>
      <c r="F15" s="187">
        <v>3.994895244693498</v>
      </c>
      <c r="G15" s="187">
        <v>4.7684794756760702</v>
      </c>
      <c r="H15" s="187">
        <v>5.5861083102485889</v>
      </c>
      <c r="I15" s="187">
        <v>5.0384209809380263</v>
      </c>
      <c r="J15" s="187">
        <v>6.4534120032881459</v>
      </c>
      <c r="K15" s="92">
        <f t="shared" ref="K15:K20" si="2">J15-I15</f>
        <v>1.4149910223501196</v>
      </c>
      <c r="L15" s="379">
        <f t="shared" ref="L15:L20" si="3">J15-F15</f>
        <v>2.4585167585946479</v>
      </c>
    </row>
    <row r="16" spans="1:12" ht="14.1" customHeight="1" thickBot="1" x14ac:dyDescent="0.35">
      <c r="A16" s="196" t="s">
        <v>117</v>
      </c>
      <c r="B16" s="188">
        <v>29.259891808534043</v>
      </c>
      <c r="C16" s="188">
        <v>16.530853481319571</v>
      </c>
      <c r="D16" s="188">
        <v>10.963220091737943</v>
      </c>
      <c r="E16" s="188">
        <v>11.178663727872163</v>
      </c>
      <c r="F16" s="188">
        <v>8.1638242447282998</v>
      </c>
      <c r="G16" s="188">
        <v>10.050948856638001</v>
      </c>
      <c r="H16" s="188">
        <v>11.489304728112577</v>
      </c>
      <c r="I16" s="188">
        <v>10.75900713885448</v>
      </c>
      <c r="J16" s="188">
        <v>12.51946718310414</v>
      </c>
      <c r="K16" s="179">
        <f t="shared" si="2"/>
        <v>1.7604600442496601</v>
      </c>
      <c r="L16" s="547">
        <f t="shared" si="3"/>
        <v>4.3556429383758406</v>
      </c>
    </row>
    <row r="17" spans="1:12" ht="14.1" customHeight="1" x14ac:dyDescent="0.3">
      <c r="A17" s="195" t="s">
        <v>164</v>
      </c>
      <c r="B17" s="187">
        <v>36.348753472473724</v>
      </c>
      <c r="C17" s="187">
        <v>29.312028977837667</v>
      </c>
      <c r="D17" s="187">
        <v>21.792418380461058</v>
      </c>
      <c r="E17" s="187">
        <v>20.660146862427734</v>
      </c>
      <c r="F17" s="187">
        <v>19.336817419267124</v>
      </c>
      <c r="G17" s="187">
        <v>18.05918301735197</v>
      </c>
      <c r="H17" s="187">
        <v>19.651809555426787</v>
      </c>
      <c r="I17" s="187">
        <v>14.643998175836497</v>
      </c>
      <c r="J17" s="187">
        <v>17.805267483205981</v>
      </c>
      <c r="K17" s="92">
        <f t="shared" si="2"/>
        <v>3.1612693073694835</v>
      </c>
      <c r="L17" s="379">
        <f t="shared" si="3"/>
        <v>-1.5315499360611433</v>
      </c>
    </row>
    <row r="18" spans="1:12" ht="14.1" customHeight="1" x14ac:dyDescent="0.3">
      <c r="A18" s="195" t="s">
        <v>165</v>
      </c>
      <c r="B18" s="187">
        <v>21.153636304901095</v>
      </c>
      <c r="C18" s="187">
        <v>34.090883177669291</v>
      </c>
      <c r="D18" s="187">
        <v>37.78659435417412</v>
      </c>
      <c r="E18" s="187">
        <v>41.42586016754872</v>
      </c>
      <c r="F18" s="187">
        <v>40.528655449645569</v>
      </c>
      <c r="G18" s="187">
        <v>34.459971516934694</v>
      </c>
      <c r="H18" s="187">
        <v>30.164522850205049</v>
      </c>
      <c r="I18" s="187">
        <v>34.125837106654615</v>
      </c>
      <c r="J18" s="187">
        <v>28.453705757166837</v>
      </c>
      <c r="K18" s="92">
        <f t="shared" si="2"/>
        <v>-5.6721313494877776</v>
      </c>
      <c r="L18" s="379">
        <f t="shared" si="3"/>
        <v>-12.074949692478732</v>
      </c>
    </row>
    <row r="19" spans="1:12" ht="14.1" customHeight="1" thickBot="1" x14ac:dyDescent="0.35">
      <c r="A19" s="195" t="s">
        <v>166</v>
      </c>
      <c r="B19" s="187">
        <v>13.237718414090965</v>
      </c>
      <c r="C19" s="187">
        <v>20.066234363174619</v>
      </c>
      <c r="D19" s="187">
        <v>29.457767173627008</v>
      </c>
      <c r="E19" s="187">
        <v>26.735329242151202</v>
      </c>
      <c r="F19" s="187">
        <v>31.970702886358616</v>
      </c>
      <c r="G19" s="187">
        <v>37.429896609076977</v>
      </c>
      <c r="H19" s="187">
        <v>38.694362866254949</v>
      </c>
      <c r="I19" s="187">
        <v>40.471157578655216</v>
      </c>
      <c r="J19" s="187">
        <v>41.221559576522516</v>
      </c>
      <c r="K19" s="92">
        <f t="shared" si="2"/>
        <v>0.7504019978673</v>
      </c>
      <c r="L19" s="379">
        <f t="shared" si="3"/>
        <v>9.2508566901639</v>
      </c>
    </row>
    <row r="20" spans="1:12" ht="14.1" customHeight="1" thickBot="1" x14ac:dyDescent="0.35">
      <c r="A20" s="389" t="s">
        <v>120</v>
      </c>
      <c r="B20" s="189">
        <v>100</v>
      </c>
      <c r="C20" s="189">
        <v>100</v>
      </c>
      <c r="D20" s="189">
        <v>100</v>
      </c>
      <c r="E20" s="189">
        <v>100</v>
      </c>
      <c r="F20" s="189">
        <v>100</v>
      </c>
      <c r="G20" s="189">
        <v>100</v>
      </c>
      <c r="H20" s="189">
        <v>100</v>
      </c>
      <c r="I20" s="189">
        <v>100</v>
      </c>
      <c r="J20" s="189">
        <v>100</v>
      </c>
      <c r="K20" s="178">
        <f t="shared" si="2"/>
        <v>0</v>
      </c>
      <c r="L20" s="548">
        <f t="shared" si="3"/>
        <v>0</v>
      </c>
    </row>
    <row r="21" spans="1:12" ht="24.75" customHeight="1" thickTop="1" x14ac:dyDescent="0.3">
      <c r="A21" s="577" t="s">
        <v>168</v>
      </c>
      <c r="B21" s="577"/>
      <c r="C21" s="577"/>
      <c r="D21" s="577"/>
      <c r="E21" s="577"/>
      <c r="F21" s="577"/>
      <c r="G21" s="577"/>
      <c r="H21" s="577"/>
      <c r="I21" s="577"/>
      <c r="J21" s="577"/>
    </row>
  </sheetData>
  <mergeCells count="4">
    <mergeCell ref="A21:J21"/>
    <mergeCell ref="A1:K1"/>
    <mergeCell ref="A10:K10"/>
    <mergeCell ref="A12:L1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zoomScaleNormal="100" workbookViewId="0">
      <selection sqref="A1:L1"/>
    </sheetView>
  </sheetViews>
  <sheetFormatPr baseColWidth="10" defaultColWidth="9.109375" defaultRowHeight="14.4" x14ac:dyDescent="0.3"/>
  <cols>
    <col min="1" max="1" width="20" customWidth="1"/>
    <col min="2" max="10" width="9.5546875" customWidth="1"/>
  </cols>
  <sheetData>
    <row r="1" spans="1:12" ht="57" customHeight="1" thickBot="1" x14ac:dyDescent="0.35">
      <c r="A1" s="582" t="s">
        <v>169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</row>
    <row r="2" spans="1:12" ht="21.6" thickTop="1" thickBot="1" x14ac:dyDescent="0.35">
      <c r="A2" s="181" t="s">
        <v>56</v>
      </c>
      <c r="B2" s="180" t="s">
        <v>57</v>
      </c>
      <c r="C2" s="180" t="s">
        <v>58</v>
      </c>
      <c r="D2" s="180" t="s">
        <v>59</v>
      </c>
      <c r="E2" s="180" t="s">
        <v>60</v>
      </c>
      <c r="F2" s="180" t="s">
        <v>61</v>
      </c>
      <c r="G2" s="180" t="s">
        <v>62</v>
      </c>
      <c r="H2" s="180" t="s">
        <v>63</v>
      </c>
      <c r="I2" s="180" t="s">
        <v>64</v>
      </c>
      <c r="J2" s="180" t="s">
        <v>65</v>
      </c>
      <c r="K2" s="390" t="s">
        <v>159</v>
      </c>
      <c r="L2" s="391" t="s">
        <v>324</v>
      </c>
    </row>
    <row r="3" spans="1:12" ht="17.25" customHeight="1" thickTop="1" x14ac:dyDescent="0.3">
      <c r="A3" s="192" t="s">
        <v>170</v>
      </c>
      <c r="B3" s="190">
        <v>17.608548216785461</v>
      </c>
      <c r="C3" s="190">
        <v>2.0803006911790178</v>
      </c>
      <c r="D3" s="190">
        <v>2.2282848670020807</v>
      </c>
      <c r="E3" s="190">
        <v>3.2230345932270996</v>
      </c>
      <c r="F3" s="190">
        <v>2.0865060522645575</v>
      </c>
      <c r="G3" s="190">
        <v>2.9561846832903274</v>
      </c>
      <c r="H3" s="190">
        <v>2.6381480508988315</v>
      </c>
      <c r="I3" s="190">
        <v>2.9626885745113318</v>
      </c>
      <c r="J3" s="190">
        <v>2.7234807004083872</v>
      </c>
      <c r="K3" s="90">
        <f>J3-I3</f>
        <v>-0.23920787410294464</v>
      </c>
      <c r="L3" s="392">
        <f>J3-F3</f>
        <v>0.63697464814382965</v>
      </c>
    </row>
    <row r="4" spans="1:12" ht="17.25" customHeight="1" thickBot="1" x14ac:dyDescent="0.35">
      <c r="A4" s="193" t="s">
        <v>171</v>
      </c>
      <c r="B4" s="191"/>
      <c r="C4" s="191">
        <v>7.8277152551125369</v>
      </c>
      <c r="D4" s="191">
        <v>6.4952721178763202</v>
      </c>
      <c r="E4" s="191">
        <v>7.6258431934940836</v>
      </c>
      <c r="F4" s="191">
        <v>6.508537159622005</v>
      </c>
      <c r="G4" s="191">
        <v>7.9331620036418133</v>
      </c>
      <c r="H4" s="191">
        <v>7.2192204335834038</v>
      </c>
      <c r="I4" s="191">
        <v>6.1764947262810166</v>
      </c>
      <c r="J4" s="191">
        <v>5.9789788172415781</v>
      </c>
      <c r="K4" s="91">
        <f t="shared" ref="K4" si="0">J4-I4</f>
        <v>-0.1975159090394385</v>
      </c>
      <c r="L4" s="393">
        <f t="shared" ref="L4" si="1">J4-F4</f>
        <v>-0.52955834238042687</v>
      </c>
    </row>
    <row r="5" spans="1:12" ht="24.75" customHeight="1" thickTop="1" x14ac:dyDescent="0.3">
      <c r="A5" s="583" t="s">
        <v>172</v>
      </c>
      <c r="B5" s="583"/>
      <c r="C5" s="583"/>
      <c r="D5" s="583"/>
      <c r="E5" s="583"/>
      <c r="F5" s="583"/>
      <c r="G5" s="583"/>
      <c r="H5" s="583"/>
      <c r="I5" s="583"/>
      <c r="J5" s="583"/>
      <c r="K5" s="583"/>
      <c r="L5" s="583"/>
    </row>
  </sheetData>
  <mergeCells count="2">
    <mergeCell ref="A1:L1"/>
    <mergeCell ref="A5:L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zoomScale="90" zoomScaleNormal="90" workbookViewId="0">
      <selection sqref="A1:K1"/>
    </sheetView>
  </sheetViews>
  <sheetFormatPr baseColWidth="10" defaultRowHeight="14.4" x14ac:dyDescent="0.3"/>
  <cols>
    <col min="1" max="1" width="39.88671875" customWidth="1"/>
    <col min="2" max="4" width="9.77734375" customWidth="1"/>
    <col min="9" max="11" width="9.5546875" customWidth="1"/>
  </cols>
  <sheetData>
    <row r="1" spans="1:13" ht="31.5" customHeight="1" thickBot="1" x14ac:dyDescent="0.35">
      <c r="A1" s="584" t="s">
        <v>192</v>
      </c>
      <c r="B1" s="585"/>
      <c r="C1" s="585"/>
      <c r="D1" s="585"/>
      <c r="E1" s="585"/>
      <c r="F1" s="585"/>
      <c r="G1" s="585"/>
      <c r="H1" s="585"/>
      <c r="I1" s="585"/>
      <c r="J1" s="585"/>
      <c r="K1" s="585"/>
    </row>
    <row r="2" spans="1:13" s="402" customFormat="1" ht="72.75" customHeight="1" thickTop="1" thickBot="1" x14ac:dyDescent="0.25">
      <c r="A2" s="395"/>
      <c r="B2" s="545" t="s">
        <v>173</v>
      </c>
      <c r="C2" s="396" t="s">
        <v>174</v>
      </c>
      <c r="D2" s="396" t="s">
        <v>175</v>
      </c>
      <c r="E2" s="397" t="s">
        <v>176</v>
      </c>
      <c r="F2" s="398" t="s">
        <v>177</v>
      </c>
      <c r="G2" s="397" t="s">
        <v>178</v>
      </c>
      <c r="H2" s="399" t="s">
        <v>179</v>
      </c>
      <c r="I2" s="400" t="s">
        <v>180</v>
      </c>
      <c r="J2" s="400" t="s">
        <v>181</v>
      </c>
      <c r="K2" s="401" t="s">
        <v>182</v>
      </c>
    </row>
    <row r="3" spans="1:13" s="402" customFormat="1" ht="12.75" customHeight="1" thickTop="1" x14ac:dyDescent="0.2">
      <c r="A3" s="403">
        <v>2018</v>
      </c>
      <c r="B3" s="404"/>
      <c r="C3" s="405"/>
      <c r="D3" s="406"/>
      <c r="E3" s="407"/>
      <c r="F3" s="408"/>
      <c r="G3" s="409"/>
      <c r="H3" s="410"/>
      <c r="I3" s="411"/>
      <c r="J3" s="412"/>
      <c r="K3" s="412"/>
    </row>
    <row r="4" spans="1:13" s="402" customFormat="1" ht="12.75" customHeight="1" x14ac:dyDescent="0.2">
      <c r="A4" s="413" t="s">
        <v>183</v>
      </c>
      <c r="B4" s="414">
        <v>136567.01782674983</v>
      </c>
      <c r="C4" s="415">
        <v>6.3255109910577314</v>
      </c>
      <c r="D4" s="415">
        <v>69.258405888537794</v>
      </c>
      <c r="E4" s="423">
        <v>50.794329753214505</v>
      </c>
      <c r="F4" s="485">
        <v>42.296493889751602</v>
      </c>
      <c r="G4" s="422"/>
      <c r="H4" s="423"/>
      <c r="I4" s="422">
        <v>83.917181170425664</v>
      </c>
      <c r="J4" s="424">
        <v>61.279398800286742</v>
      </c>
      <c r="K4" s="424">
        <v>70.986839623605519</v>
      </c>
      <c r="M4" s="439"/>
    </row>
    <row r="5" spans="1:13" s="402" customFormat="1" ht="12.75" customHeight="1" x14ac:dyDescent="0.2">
      <c r="A5" s="416" t="s">
        <v>184</v>
      </c>
      <c r="B5" s="417">
        <v>70347.661249608602</v>
      </c>
      <c r="C5" s="418">
        <v>3.2583629013127986</v>
      </c>
      <c r="D5" s="418">
        <v>35.67601426513999</v>
      </c>
      <c r="E5" s="420">
        <v>70.27993220591533</v>
      </c>
      <c r="F5" s="486">
        <v>20.930704024342059</v>
      </c>
      <c r="G5" s="419">
        <v>20.625607332756118</v>
      </c>
      <c r="H5" s="420">
        <v>76.409876688152139</v>
      </c>
      <c r="I5" s="419">
        <v>79.992113293784897</v>
      </c>
      <c r="J5" s="487">
        <v>53.708739600064291</v>
      </c>
      <c r="K5" s="487">
        <v>57.766879809456469</v>
      </c>
      <c r="M5" s="439"/>
    </row>
    <row r="6" spans="1:13" s="402" customFormat="1" ht="12.75" customHeight="1" x14ac:dyDescent="0.2">
      <c r="A6" s="416" t="s">
        <v>185</v>
      </c>
      <c r="B6" s="417">
        <v>66219.356577141225</v>
      </c>
      <c r="C6" s="418">
        <v>3.0671480897449328</v>
      </c>
      <c r="D6" s="418">
        <v>33.582391623397797</v>
      </c>
      <c r="E6" s="420">
        <v>39.468235552898342</v>
      </c>
      <c r="F6" s="486">
        <v>54.715455493181395</v>
      </c>
      <c r="G6" s="419"/>
      <c r="H6" s="420"/>
      <c r="I6" s="419">
        <v>88.086949039521087</v>
      </c>
      <c r="J6" s="487">
        <v>69.322034615284068</v>
      </c>
      <c r="K6" s="487">
        <v>85.030969660654918</v>
      </c>
    </row>
    <row r="7" spans="1:13" s="402" customFormat="1" ht="12.75" customHeight="1" x14ac:dyDescent="0.2">
      <c r="A7" s="421" t="s">
        <v>186</v>
      </c>
      <c r="B7" s="417">
        <v>20130.858232262781</v>
      </c>
      <c r="C7" s="418">
        <v>0.93242107087045967</v>
      </c>
      <c r="D7" s="418">
        <v>10.209135210841335</v>
      </c>
      <c r="E7" s="420"/>
      <c r="F7" s="486"/>
      <c r="G7" s="419"/>
      <c r="H7" s="420"/>
      <c r="I7" s="419"/>
      <c r="J7" s="487"/>
      <c r="K7" s="487"/>
      <c r="M7" s="439"/>
    </row>
    <row r="8" spans="1:13" s="402" customFormat="1" ht="12.75" customHeight="1" x14ac:dyDescent="0.2">
      <c r="A8" s="413" t="s">
        <v>187</v>
      </c>
      <c r="B8" s="414">
        <v>60617.736968985249</v>
      </c>
      <c r="C8" s="415">
        <v>2.8076922785031151</v>
      </c>
      <c r="D8" s="415">
        <v>30.741594111461009</v>
      </c>
      <c r="E8" s="423">
        <v>0</v>
      </c>
      <c r="F8" s="488">
        <v>91.85689586975127</v>
      </c>
      <c r="G8" s="422">
        <v>26.702679432699455</v>
      </c>
      <c r="H8" s="423">
        <v>26.702679432699455</v>
      </c>
      <c r="I8" s="422">
        <v>85.580218198480594</v>
      </c>
      <c r="J8" s="424">
        <v>69.078812675581545</v>
      </c>
      <c r="K8" s="424">
        <v>60.009733806661266</v>
      </c>
      <c r="M8" s="439"/>
    </row>
    <row r="9" spans="1:13" s="402" customFormat="1" ht="12.75" customHeight="1" x14ac:dyDescent="0.2">
      <c r="A9" s="416" t="s">
        <v>188</v>
      </c>
      <c r="B9" s="417"/>
      <c r="C9" s="418"/>
      <c r="D9" s="418"/>
      <c r="E9" s="420"/>
      <c r="F9" s="486">
        <v>53.858394762761129</v>
      </c>
      <c r="G9" s="419"/>
      <c r="H9" s="420"/>
      <c r="I9" s="419"/>
      <c r="J9" s="487"/>
      <c r="K9" s="487"/>
    </row>
    <row r="10" spans="1:13" s="402" customFormat="1" ht="12.75" customHeight="1" thickBot="1" x14ac:dyDescent="0.25">
      <c r="A10" s="425" t="s">
        <v>189</v>
      </c>
      <c r="B10" s="426">
        <v>197184.75479573506</v>
      </c>
      <c r="C10" s="489">
        <v>9.1332032695608465</v>
      </c>
      <c r="D10" s="489">
        <v>99.999999999998792</v>
      </c>
      <c r="E10" s="490">
        <v>50.794329753214505</v>
      </c>
      <c r="F10" s="491"/>
      <c r="G10" s="427"/>
      <c r="H10" s="428"/>
      <c r="I10" s="427">
        <v>84.428425263511571</v>
      </c>
      <c r="J10" s="428">
        <v>63.677062956901231</v>
      </c>
      <c r="K10" s="428">
        <v>67.612302308173213</v>
      </c>
    </row>
    <row r="11" spans="1:13" s="402" customFormat="1" ht="12.75" customHeight="1" x14ac:dyDescent="0.2">
      <c r="A11" s="403">
        <v>2016</v>
      </c>
      <c r="B11" s="404"/>
      <c r="C11" s="492"/>
      <c r="D11" s="493"/>
      <c r="E11" s="494"/>
      <c r="F11" s="495"/>
      <c r="G11" s="496"/>
      <c r="H11" s="497"/>
      <c r="I11" s="498"/>
      <c r="J11" s="499"/>
      <c r="K11" s="499"/>
    </row>
    <row r="12" spans="1:13" s="402" customFormat="1" ht="12.75" customHeight="1" x14ac:dyDescent="0.2">
      <c r="A12" s="413" t="s">
        <v>183</v>
      </c>
      <c r="B12" s="414">
        <v>134562.61852706128</v>
      </c>
      <c r="C12" s="415">
        <v>6.2805206557669662</v>
      </c>
      <c r="D12" s="415">
        <v>69.340766523353068</v>
      </c>
      <c r="E12" s="423">
        <v>52.196301416651501</v>
      </c>
      <c r="F12" s="485">
        <v>41.342375158129656</v>
      </c>
      <c r="G12" s="422"/>
      <c r="H12" s="423"/>
      <c r="I12" s="422">
        <v>79.994960761445853</v>
      </c>
      <c r="J12" s="424">
        <v>60.004672091110606</v>
      </c>
      <c r="K12" s="424">
        <v>67.021671733684954</v>
      </c>
    </row>
    <row r="13" spans="1:13" s="402" customFormat="1" ht="12.75" customHeight="1" x14ac:dyDescent="0.2">
      <c r="A13" s="416" t="s">
        <v>184</v>
      </c>
      <c r="B13" s="417">
        <v>63068.526068544619</v>
      </c>
      <c r="C13" s="418">
        <v>2.9436346069812345</v>
      </c>
      <c r="D13" s="418">
        <v>32.499515756758854</v>
      </c>
      <c r="E13" s="420">
        <v>69.244400510016007</v>
      </c>
      <c r="F13" s="486">
        <v>22.166806051813907</v>
      </c>
      <c r="G13" s="419">
        <v>16.082790254236983</v>
      </c>
      <c r="H13" s="420">
        <v>74.190759067423301</v>
      </c>
      <c r="I13" s="419">
        <v>73.256567772687646</v>
      </c>
      <c r="J13" s="487">
        <v>43.446970758760244</v>
      </c>
      <c r="K13" s="487">
        <v>48.536109255965684</v>
      </c>
    </row>
    <row r="14" spans="1:13" s="402" customFormat="1" ht="12.75" customHeight="1" x14ac:dyDescent="0.2">
      <c r="A14" s="416" t="s">
        <v>185</v>
      </c>
      <c r="B14" s="417">
        <v>71494.09245851665</v>
      </c>
      <c r="C14" s="418">
        <v>3.3368860487857308</v>
      </c>
      <c r="D14" s="418">
        <v>36.841250766594207</v>
      </c>
      <c r="E14" s="420">
        <v>43.743118428537535</v>
      </c>
      <c r="F14" s="486">
        <v>50.850449558049299</v>
      </c>
      <c r="G14" s="419"/>
      <c r="H14" s="420"/>
      <c r="I14" s="419">
        <v>85.939235305782319</v>
      </c>
      <c r="J14" s="487">
        <v>74.611051194677032</v>
      </c>
      <c r="K14" s="487">
        <v>83.328713881177336</v>
      </c>
    </row>
    <row r="15" spans="1:13" s="402" customFormat="1" ht="12.75" customHeight="1" x14ac:dyDescent="0.2">
      <c r="A15" s="421" t="s">
        <v>186</v>
      </c>
      <c r="B15" s="417">
        <v>24315.712442266853</v>
      </c>
      <c r="C15" s="418">
        <v>1.1349016236826195</v>
      </c>
      <c r="D15" s="418">
        <v>12.530003932475045</v>
      </c>
      <c r="E15" s="420"/>
      <c r="F15" s="486"/>
      <c r="G15" s="419"/>
      <c r="H15" s="420"/>
      <c r="I15" s="419"/>
      <c r="J15" s="487"/>
      <c r="K15" s="487"/>
    </row>
    <row r="16" spans="1:13" s="402" customFormat="1" ht="12.75" customHeight="1" x14ac:dyDescent="0.2">
      <c r="A16" s="413" t="s">
        <v>187</v>
      </c>
      <c r="B16" s="414">
        <v>59497.276212842444</v>
      </c>
      <c r="C16" s="415">
        <v>2.7769515509352374</v>
      </c>
      <c r="D16" s="415">
        <v>30.659233476646996</v>
      </c>
      <c r="E16" s="423">
        <v>0</v>
      </c>
      <c r="F16" s="488">
        <v>82.459263614230565</v>
      </c>
      <c r="G16" s="422">
        <v>22.535183766071356</v>
      </c>
      <c r="H16" s="423">
        <v>22.535183766071356</v>
      </c>
      <c r="I16" s="422">
        <v>72.589655566656901</v>
      </c>
      <c r="J16" s="424">
        <v>53.772806862662996</v>
      </c>
      <c r="K16" s="424">
        <v>48.328668369080056</v>
      </c>
      <c r="M16" s="439"/>
    </row>
    <row r="17" spans="1:13" s="402" customFormat="1" ht="12.75" customHeight="1" x14ac:dyDescent="0.2">
      <c r="A17" s="416" t="s">
        <v>188</v>
      </c>
      <c r="B17" s="417"/>
      <c r="C17" s="418"/>
      <c r="D17" s="418"/>
      <c r="E17" s="420"/>
      <c r="F17" s="486">
        <v>52.364192851339332</v>
      </c>
      <c r="G17" s="419"/>
      <c r="H17" s="420"/>
      <c r="I17" s="419"/>
      <c r="J17" s="487"/>
      <c r="K17" s="487"/>
    </row>
    <row r="18" spans="1:13" s="402" customFormat="1" ht="12.75" customHeight="1" thickBot="1" x14ac:dyDescent="0.25">
      <c r="A18" s="425" t="s">
        <v>189</v>
      </c>
      <c r="B18" s="426">
        <v>194059.89473990371</v>
      </c>
      <c r="C18" s="489">
        <v>9.0574722067022044</v>
      </c>
      <c r="D18" s="489">
        <v>100.00000000000007</v>
      </c>
      <c r="E18" s="490">
        <v>52.196301416651501</v>
      </c>
      <c r="F18" s="491"/>
      <c r="G18" s="427"/>
      <c r="H18" s="428"/>
      <c r="I18" s="427">
        <v>77.724550952117269</v>
      </c>
      <c r="J18" s="428">
        <v>58.094029980770898</v>
      </c>
      <c r="K18" s="428">
        <v>61.290540188333438</v>
      </c>
    </row>
    <row r="19" spans="1:13" s="402" customFormat="1" ht="12.75" customHeight="1" x14ac:dyDescent="0.2">
      <c r="A19" s="429">
        <v>2014</v>
      </c>
      <c r="B19" s="430"/>
      <c r="C19" s="500"/>
      <c r="D19" s="501"/>
      <c r="E19" s="502"/>
      <c r="F19" s="503"/>
      <c r="G19" s="502"/>
      <c r="H19" s="504"/>
      <c r="I19" s="505"/>
      <c r="J19" s="439"/>
      <c r="K19" s="506"/>
    </row>
    <row r="20" spans="1:13" s="402" customFormat="1" ht="12.75" customHeight="1" x14ac:dyDescent="0.2">
      <c r="A20" s="431" t="s">
        <v>183</v>
      </c>
      <c r="B20" s="432">
        <v>151591</v>
      </c>
      <c r="C20" s="440">
        <v>7</v>
      </c>
      <c r="D20" s="507">
        <v>72.900000000000006</v>
      </c>
      <c r="E20" s="508">
        <v>51</v>
      </c>
      <c r="F20" s="509">
        <v>43.1</v>
      </c>
      <c r="G20" s="510"/>
      <c r="H20" s="511"/>
      <c r="I20" s="508">
        <v>80.8</v>
      </c>
      <c r="J20" s="507">
        <v>53.2</v>
      </c>
      <c r="K20" s="512">
        <v>77.2</v>
      </c>
    </row>
    <row r="21" spans="1:13" s="402" customFormat="1" ht="12.75" customHeight="1" x14ac:dyDescent="0.2">
      <c r="A21" s="421" t="s">
        <v>184</v>
      </c>
      <c r="B21" s="433">
        <v>71092</v>
      </c>
      <c r="C21" s="513">
        <v>3.3</v>
      </c>
      <c r="D21" s="514">
        <v>34.200000000000003</v>
      </c>
      <c r="E21" s="515">
        <v>71.400000000000006</v>
      </c>
      <c r="F21" s="516">
        <v>21.7</v>
      </c>
      <c r="G21" s="515">
        <v>16.100000000000001</v>
      </c>
      <c r="H21" s="420">
        <v>76</v>
      </c>
      <c r="I21" s="515">
        <v>69.900000000000006</v>
      </c>
      <c r="J21" s="514">
        <v>34.799999999999997</v>
      </c>
      <c r="K21" s="517">
        <v>65.099999999999994</v>
      </c>
    </row>
    <row r="22" spans="1:13" s="402" customFormat="1" ht="12.75" customHeight="1" x14ac:dyDescent="0.2">
      <c r="A22" s="421" t="s">
        <v>185</v>
      </c>
      <c r="B22" s="433">
        <v>80499</v>
      </c>
      <c r="C22" s="513">
        <v>3.7</v>
      </c>
      <c r="D22" s="514">
        <v>38.700000000000003</v>
      </c>
      <c r="E22" s="515">
        <v>41.1</v>
      </c>
      <c r="F22" s="516">
        <v>53.4</v>
      </c>
      <c r="G22" s="518"/>
      <c r="H22" s="519"/>
      <c r="I22" s="514">
        <v>90.5</v>
      </c>
      <c r="J22" s="514">
        <v>69.5</v>
      </c>
      <c r="K22" s="517">
        <v>87.9</v>
      </c>
    </row>
    <row r="23" spans="1:13" s="402" customFormat="1" ht="12.75" customHeight="1" x14ac:dyDescent="0.2">
      <c r="A23" s="421" t="s">
        <v>186</v>
      </c>
      <c r="B23" s="433">
        <v>24993</v>
      </c>
      <c r="C23" s="513">
        <v>1.2</v>
      </c>
      <c r="D23" s="514">
        <v>12</v>
      </c>
      <c r="E23" s="518"/>
      <c r="F23" s="520"/>
      <c r="G23" s="518"/>
      <c r="H23" s="519"/>
      <c r="I23" s="439"/>
      <c r="J23" s="439"/>
      <c r="K23" s="521"/>
    </row>
    <row r="24" spans="1:13" s="402" customFormat="1" ht="12.75" customHeight="1" x14ac:dyDescent="0.2">
      <c r="A24" s="431" t="s">
        <v>187</v>
      </c>
      <c r="B24" s="432">
        <v>56307</v>
      </c>
      <c r="C24" s="440">
        <v>2.6</v>
      </c>
      <c r="D24" s="507">
        <v>27.1</v>
      </c>
      <c r="E24" s="508">
        <v>0</v>
      </c>
      <c r="F24" s="522">
        <v>86</v>
      </c>
      <c r="G24" s="508">
        <v>30.5</v>
      </c>
      <c r="H24" s="523">
        <v>30.5</v>
      </c>
      <c r="I24" s="507">
        <v>70.099999999999994</v>
      </c>
      <c r="J24" s="507">
        <v>37.799999999999997</v>
      </c>
      <c r="K24" s="512">
        <v>52.1</v>
      </c>
      <c r="M24" s="439"/>
    </row>
    <row r="25" spans="1:13" s="402" customFormat="1" ht="12.75" customHeight="1" thickBot="1" x14ac:dyDescent="0.25">
      <c r="A25" s="421" t="s">
        <v>188</v>
      </c>
      <c r="B25" s="434"/>
      <c r="C25" s="524"/>
      <c r="D25" s="439"/>
      <c r="E25" s="518"/>
      <c r="F25" s="516">
        <v>40.4</v>
      </c>
      <c r="G25" s="518"/>
      <c r="H25" s="519"/>
      <c r="I25" s="439"/>
      <c r="J25" s="439"/>
      <c r="K25" s="525"/>
    </row>
    <row r="26" spans="1:13" s="402" customFormat="1" ht="12.75" customHeight="1" thickBot="1" x14ac:dyDescent="0.25">
      <c r="A26" s="435" t="s">
        <v>189</v>
      </c>
      <c r="B26" s="436">
        <v>207898</v>
      </c>
      <c r="C26" s="526">
        <v>9.6</v>
      </c>
      <c r="D26" s="527">
        <v>100</v>
      </c>
      <c r="E26" s="528"/>
      <c r="F26" s="529"/>
      <c r="G26" s="530"/>
      <c r="H26" s="531"/>
      <c r="I26" s="532">
        <v>77.900000000000006</v>
      </c>
      <c r="J26" s="532">
        <v>49</v>
      </c>
      <c r="K26" s="533">
        <v>70.400000000000006</v>
      </c>
    </row>
    <row r="27" spans="1:13" s="402" customFormat="1" ht="12.75" customHeight="1" x14ac:dyDescent="0.2">
      <c r="A27" s="437">
        <v>2012</v>
      </c>
      <c r="B27" s="438"/>
      <c r="C27" s="534"/>
      <c r="D27" s="535"/>
      <c r="E27" s="536"/>
      <c r="F27" s="537"/>
      <c r="G27" s="536"/>
      <c r="H27" s="538"/>
      <c r="I27" s="439"/>
      <c r="J27" s="439"/>
      <c r="K27" s="506"/>
    </row>
    <row r="28" spans="1:13" s="402" customFormat="1" ht="12.75" customHeight="1" x14ac:dyDescent="0.2">
      <c r="A28" s="431" t="s">
        <v>183</v>
      </c>
      <c r="B28" s="432">
        <v>133267</v>
      </c>
      <c r="C28" s="440">
        <v>6.1</v>
      </c>
      <c r="D28" s="507">
        <v>72.599999999999994</v>
      </c>
      <c r="E28" s="508">
        <v>46.4</v>
      </c>
      <c r="F28" s="509">
        <v>48</v>
      </c>
      <c r="G28" s="510"/>
      <c r="H28" s="539"/>
      <c r="I28" s="507">
        <v>77.099999999999994</v>
      </c>
      <c r="J28" s="507">
        <v>49.6</v>
      </c>
      <c r="K28" s="512">
        <v>65.099999999999994</v>
      </c>
    </row>
    <row r="29" spans="1:13" s="402" customFormat="1" ht="12.75" customHeight="1" x14ac:dyDescent="0.2">
      <c r="A29" s="421" t="s">
        <v>184</v>
      </c>
      <c r="B29" s="433">
        <v>64383</v>
      </c>
      <c r="C29" s="513">
        <v>3</v>
      </c>
      <c r="D29" s="514">
        <v>35.1</v>
      </c>
      <c r="E29" s="515">
        <v>70</v>
      </c>
      <c r="F29" s="516">
        <v>23.5</v>
      </c>
      <c r="G29" s="515">
        <v>19.7</v>
      </c>
      <c r="H29" s="540">
        <v>75.900000000000006</v>
      </c>
      <c r="I29" s="514">
        <v>68</v>
      </c>
      <c r="J29" s="514">
        <v>35.200000000000003</v>
      </c>
      <c r="K29" s="517">
        <v>46.2</v>
      </c>
    </row>
    <row r="30" spans="1:13" s="402" customFormat="1" ht="12.75" customHeight="1" x14ac:dyDescent="0.2">
      <c r="A30" s="421" t="s">
        <v>185</v>
      </c>
      <c r="B30" s="433">
        <v>68884</v>
      </c>
      <c r="C30" s="513">
        <v>3.2</v>
      </c>
      <c r="D30" s="514">
        <v>37.5</v>
      </c>
      <c r="E30" s="515">
        <v>33.5</v>
      </c>
      <c r="F30" s="516">
        <v>61.4</v>
      </c>
      <c r="G30" s="518"/>
      <c r="H30" s="519"/>
      <c r="I30" s="514">
        <v>85.6</v>
      </c>
      <c r="J30" s="514">
        <v>63.2</v>
      </c>
      <c r="K30" s="517">
        <v>82.8</v>
      </c>
    </row>
    <row r="31" spans="1:13" s="402" customFormat="1" ht="12.75" customHeight="1" x14ac:dyDescent="0.2">
      <c r="A31" s="421" t="s">
        <v>186</v>
      </c>
      <c r="B31" s="433">
        <v>30616</v>
      </c>
      <c r="C31" s="513">
        <v>1.4</v>
      </c>
      <c r="D31" s="514">
        <v>16.7</v>
      </c>
      <c r="E31" s="518"/>
      <c r="F31" s="520"/>
      <c r="G31" s="518"/>
      <c r="H31" s="519"/>
      <c r="I31" s="439"/>
      <c r="J31" s="439"/>
      <c r="K31" s="521"/>
    </row>
    <row r="32" spans="1:13" s="402" customFormat="1" ht="12.75" customHeight="1" x14ac:dyDescent="0.2">
      <c r="A32" s="431" t="s">
        <v>187</v>
      </c>
      <c r="B32" s="432">
        <v>50313</v>
      </c>
      <c r="C32" s="440">
        <v>2.2999999999999998</v>
      </c>
      <c r="D32" s="507">
        <v>27.4</v>
      </c>
      <c r="E32" s="508">
        <v>0</v>
      </c>
      <c r="F32" s="509">
        <v>88.6</v>
      </c>
      <c r="G32" s="508">
        <v>24.9</v>
      </c>
      <c r="H32" s="523">
        <v>24.9</v>
      </c>
      <c r="I32" s="507">
        <v>80.599999999999994</v>
      </c>
      <c r="J32" s="507">
        <v>45.2</v>
      </c>
      <c r="K32" s="512">
        <v>47.2</v>
      </c>
    </row>
    <row r="33" spans="1:13" s="402" customFormat="1" ht="12.75" customHeight="1" thickBot="1" x14ac:dyDescent="0.25">
      <c r="A33" s="421" t="s">
        <v>188</v>
      </c>
      <c r="B33" s="434"/>
      <c r="C33" s="524"/>
      <c r="D33" s="439"/>
      <c r="E33" s="518"/>
      <c r="F33" s="516">
        <v>42.1</v>
      </c>
      <c r="G33" s="518"/>
      <c r="H33" s="519"/>
      <c r="I33" s="439"/>
      <c r="J33" s="439"/>
      <c r="K33" s="525"/>
    </row>
    <row r="34" spans="1:13" s="402" customFormat="1" ht="12.75" customHeight="1" thickBot="1" x14ac:dyDescent="0.25">
      <c r="A34" s="435" t="s">
        <v>189</v>
      </c>
      <c r="B34" s="436">
        <v>183580</v>
      </c>
      <c r="C34" s="526">
        <v>8.5</v>
      </c>
      <c r="D34" s="527">
        <v>100</v>
      </c>
      <c r="E34" s="528"/>
      <c r="F34" s="541"/>
      <c r="G34" s="542"/>
      <c r="H34" s="543"/>
      <c r="I34" s="532">
        <v>78</v>
      </c>
      <c r="J34" s="532">
        <v>48.4</v>
      </c>
      <c r="K34" s="533">
        <v>60.2</v>
      </c>
    </row>
    <row r="35" spans="1:13" s="402" customFormat="1" ht="12.75" customHeight="1" x14ac:dyDescent="0.2">
      <c r="A35" s="437">
        <v>2008</v>
      </c>
      <c r="B35" s="438"/>
      <c r="C35" s="534"/>
      <c r="D35" s="535"/>
      <c r="E35" s="536"/>
      <c r="F35" s="537"/>
      <c r="G35" s="536"/>
      <c r="H35" s="538"/>
      <c r="I35" s="439"/>
      <c r="J35" s="439"/>
      <c r="K35" s="506"/>
    </row>
    <row r="36" spans="1:13" s="402" customFormat="1" ht="12.75" customHeight="1" x14ac:dyDescent="0.2">
      <c r="A36" s="431" t="s">
        <v>183</v>
      </c>
      <c r="B36" s="432">
        <v>83023</v>
      </c>
      <c r="C36" s="440">
        <v>3.9</v>
      </c>
      <c r="D36" s="507">
        <v>63.6</v>
      </c>
      <c r="E36" s="508">
        <v>39</v>
      </c>
      <c r="F36" s="509">
        <v>53.8</v>
      </c>
      <c r="G36" s="510"/>
      <c r="H36" s="539"/>
      <c r="I36" s="507">
        <v>82.1</v>
      </c>
      <c r="J36" s="507">
        <v>51.3</v>
      </c>
      <c r="K36" s="512">
        <v>76.3</v>
      </c>
    </row>
    <row r="37" spans="1:13" s="402" customFormat="1" ht="12.75" customHeight="1" x14ac:dyDescent="0.2">
      <c r="A37" s="421" t="s">
        <v>184</v>
      </c>
      <c r="B37" s="433">
        <v>42165</v>
      </c>
      <c r="C37" s="513">
        <v>2</v>
      </c>
      <c r="D37" s="514">
        <v>32.299999999999997</v>
      </c>
      <c r="E37" s="515">
        <v>56.4</v>
      </c>
      <c r="F37" s="516">
        <v>36.6</v>
      </c>
      <c r="G37" s="515">
        <v>17</v>
      </c>
      <c r="H37" s="540">
        <v>63.8</v>
      </c>
      <c r="I37" s="514">
        <v>78.7</v>
      </c>
      <c r="J37" s="514">
        <v>28.6</v>
      </c>
      <c r="K37" s="517">
        <v>61.3</v>
      </c>
    </row>
    <row r="38" spans="1:13" s="402" customFormat="1" ht="12.75" customHeight="1" x14ac:dyDescent="0.2">
      <c r="A38" s="421" t="s">
        <v>185</v>
      </c>
      <c r="B38" s="433">
        <v>40858</v>
      </c>
      <c r="C38" s="513">
        <v>1.9</v>
      </c>
      <c r="D38" s="514">
        <v>31.3</v>
      </c>
      <c r="E38" s="515">
        <v>29.9</v>
      </c>
      <c r="F38" s="516">
        <v>62.8</v>
      </c>
      <c r="G38" s="518"/>
      <c r="H38" s="519"/>
      <c r="I38" s="514">
        <v>85.7</v>
      </c>
      <c r="J38" s="514">
        <v>74.7</v>
      </c>
      <c r="K38" s="517">
        <v>91.9</v>
      </c>
    </row>
    <row r="39" spans="1:13" s="402" customFormat="1" ht="12.75" customHeight="1" x14ac:dyDescent="0.2">
      <c r="A39" s="421" t="s">
        <v>186</v>
      </c>
      <c r="B39" s="433">
        <v>16944</v>
      </c>
      <c r="C39" s="513">
        <v>0.8</v>
      </c>
      <c r="D39" s="514">
        <v>13</v>
      </c>
      <c r="E39" s="518"/>
      <c r="F39" s="520"/>
      <c r="G39" s="518"/>
      <c r="H39" s="519"/>
      <c r="I39" s="439"/>
      <c r="J39" s="439"/>
      <c r="K39" s="521"/>
    </row>
    <row r="40" spans="1:13" s="402" customFormat="1" ht="12.75" customHeight="1" x14ac:dyDescent="0.2">
      <c r="A40" s="431" t="s">
        <v>187</v>
      </c>
      <c r="B40" s="432">
        <v>47542</v>
      </c>
      <c r="C40" s="440">
        <v>2.2000000000000002</v>
      </c>
      <c r="D40" s="507">
        <v>36.4</v>
      </c>
      <c r="E40" s="508">
        <v>0</v>
      </c>
      <c r="F40" s="509">
        <v>92.7</v>
      </c>
      <c r="G40" s="508">
        <v>21.3</v>
      </c>
      <c r="H40" s="523">
        <v>21.3</v>
      </c>
      <c r="I40" s="507">
        <v>77.3</v>
      </c>
      <c r="J40" s="507">
        <v>55.9</v>
      </c>
      <c r="K40" s="512">
        <v>70.2</v>
      </c>
      <c r="M40" s="439"/>
    </row>
    <row r="41" spans="1:13" s="402" customFormat="1" ht="12.75" customHeight="1" thickBot="1" x14ac:dyDescent="0.25">
      <c r="A41" s="421" t="s">
        <v>188</v>
      </c>
      <c r="B41" s="434"/>
      <c r="C41" s="524"/>
      <c r="D41" s="439"/>
      <c r="E41" s="518"/>
      <c r="F41" s="516">
        <v>36.5</v>
      </c>
      <c r="G41" s="518"/>
      <c r="H41" s="519"/>
      <c r="I41" s="439"/>
      <c r="J41" s="439"/>
      <c r="K41" s="525"/>
    </row>
    <row r="42" spans="1:13" s="402" customFormat="1" ht="12.75" customHeight="1" thickBot="1" x14ac:dyDescent="0.25">
      <c r="A42" s="435" t="s">
        <v>189</v>
      </c>
      <c r="B42" s="436">
        <v>130564</v>
      </c>
      <c r="C42" s="526">
        <v>6.1</v>
      </c>
      <c r="D42" s="527">
        <v>100</v>
      </c>
      <c r="E42" s="528"/>
      <c r="F42" s="541"/>
      <c r="G42" s="542"/>
      <c r="H42" s="543"/>
      <c r="I42" s="532">
        <v>80.400000000000006</v>
      </c>
      <c r="J42" s="532">
        <v>53</v>
      </c>
      <c r="K42" s="533">
        <v>74.099999999999994</v>
      </c>
    </row>
    <row r="43" spans="1:13" x14ac:dyDescent="0.3">
      <c r="A43" s="197" t="s">
        <v>191</v>
      </c>
    </row>
    <row r="44" spans="1:13" x14ac:dyDescent="0.3">
      <c r="A44" s="394" t="s">
        <v>190</v>
      </c>
    </row>
  </sheetData>
  <mergeCells count="1">
    <mergeCell ref="A1:K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zoomScale="110" zoomScaleNormal="110" workbookViewId="0">
      <selection sqref="A1:F1"/>
    </sheetView>
  </sheetViews>
  <sheetFormatPr baseColWidth="10" defaultColWidth="11.44140625" defaultRowHeight="10.199999999999999" x14ac:dyDescent="0.2"/>
  <cols>
    <col min="1" max="1" width="49.109375" style="88" bestFit="1" customWidth="1"/>
    <col min="2" max="6" width="13.5546875" style="88" customWidth="1"/>
    <col min="7" max="16384" width="11.44140625" style="88"/>
  </cols>
  <sheetData>
    <row r="1" spans="1:6" ht="52.2" customHeight="1" thickBot="1" x14ac:dyDescent="0.3">
      <c r="A1" s="586" t="s">
        <v>414</v>
      </c>
      <c r="B1" s="586"/>
      <c r="C1" s="586"/>
      <c r="D1" s="586"/>
      <c r="E1" s="586"/>
      <c r="F1" s="586"/>
    </row>
    <row r="2" spans="1:6" ht="21" thickTop="1" x14ac:dyDescent="0.2">
      <c r="A2" s="198" t="s">
        <v>193</v>
      </c>
      <c r="B2" s="199" t="s">
        <v>115</v>
      </c>
      <c r="C2" s="200" t="s">
        <v>194</v>
      </c>
      <c r="D2" s="200" t="s">
        <v>195</v>
      </c>
      <c r="E2" s="199" t="s">
        <v>196</v>
      </c>
      <c r="F2" s="199" t="s">
        <v>189</v>
      </c>
    </row>
    <row r="3" spans="1:6" x14ac:dyDescent="0.2">
      <c r="A3" s="201" t="s">
        <v>197</v>
      </c>
      <c r="B3" s="201">
        <v>14473931.808577849</v>
      </c>
      <c r="C3" s="201">
        <v>38557913.523771919</v>
      </c>
      <c r="D3" s="201">
        <v>156611412.30100757</v>
      </c>
      <c r="E3" s="201">
        <v>1343174381.9758325</v>
      </c>
      <c r="F3" s="201">
        <v>1552817639.6091897</v>
      </c>
    </row>
    <row r="4" spans="1:6" x14ac:dyDescent="0.2">
      <c r="A4" s="201" t="s">
        <v>198</v>
      </c>
      <c r="B4" s="201">
        <v>160758.16263574551</v>
      </c>
      <c r="C4" s="201">
        <v>161363.72168693191</v>
      </c>
      <c r="D4" s="201">
        <v>1739701.3609261669</v>
      </c>
      <c r="E4" s="201">
        <v>38920643.092569597</v>
      </c>
      <c r="F4" s="201">
        <v>40982466.337818444</v>
      </c>
    </row>
    <row r="5" spans="1:6" x14ac:dyDescent="0.2">
      <c r="A5" s="201" t="s">
        <v>199</v>
      </c>
      <c r="B5" s="201">
        <v>309511.07177205459</v>
      </c>
      <c r="C5" s="201">
        <v>493619.99192943441</v>
      </c>
      <c r="D5" s="201">
        <v>3760211.7478791121</v>
      </c>
      <c r="E5" s="201">
        <v>46317859.029747479</v>
      </c>
      <c r="F5" s="201">
        <v>50881201.841328077</v>
      </c>
    </row>
    <row r="6" spans="1:6" x14ac:dyDescent="0.2">
      <c r="A6" s="201" t="s">
        <v>200</v>
      </c>
      <c r="B6" s="201">
        <v>30462.543732567749</v>
      </c>
      <c r="C6" s="201">
        <v>117898.91246723448</v>
      </c>
      <c r="D6" s="201">
        <v>971654.87476629158</v>
      </c>
      <c r="E6" s="201">
        <v>4877988.7046619412</v>
      </c>
      <c r="F6" s="201">
        <v>5998005.0356280347</v>
      </c>
    </row>
    <row r="7" spans="1:6" x14ac:dyDescent="0.2">
      <c r="A7" s="201" t="s">
        <v>201</v>
      </c>
      <c r="B7" s="201">
        <v>67318.523511794308</v>
      </c>
      <c r="C7" s="201">
        <v>134354.42917762644</v>
      </c>
      <c r="D7" s="201">
        <v>281994.40522358252</v>
      </c>
      <c r="E7" s="201">
        <v>2387281.3897781949</v>
      </c>
      <c r="F7" s="201">
        <v>2870948.7476911983</v>
      </c>
    </row>
    <row r="8" spans="1:6" x14ac:dyDescent="0.2">
      <c r="A8" s="202" t="s">
        <v>202</v>
      </c>
      <c r="B8" s="202">
        <v>15041982.11023001</v>
      </c>
      <c r="C8" s="202">
        <v>39465150.579033144</v>
      </c>
      <c r="D8" s="202">
        <v>163364974.68980274</v>
      </c>
      <c r="E8" s="202">
        <v>1435678154.1925895</v>
      </c>
      <c r="F8" s="202">
        <v>1653550261.5716553</v>
      </c>
    </row>
    <row r="9" spans="1:6" x14ac:dyDescent="0.2">
      <c r="A9" s="201" t="s">
        <v>203</v>
      </c>
      <c r="B9" s="201">
        <v>4415692.1322071273</v>
      </c>
      <c r="C9" s="201">
        <v>19625875.950504828</v>
      </c>
      <c r="D9" s="201">
        <v>96361171.050177261</v>
      </c>
      <c r="E9" s="201">
        <v>457518696.02771139</v>
      </c>
      <c r="F9" s="201">
        <v>577921435.16060066</v>
      </c>
    </row>
    <row r="10" spans="1:6" x14ac:dyDescent="0.2">
      <c r="A10" s="201" t="s">
        <v>204</v>
      </c>
      <c r="B10" s="201">
        <v>5723352.2287990954</v>
      </c>
      <c r="C10" s="201">
        <v>7522700.7586104795</v>
      </c>
      <c r="D10" s="201">
        <v>18759647.277981441</v>
      </c>
      <c r="E10" s="201">
        <v>72284891.083484203</v>
      </c>
      <c r="F10" s="201">
        <v>104290591.34887522</v>
      </c>
    </row>
    <row r="11" spans="1:6" x14ac:dyDescent="0.2">
      <c r="A11" s="202" t="s">
        <v>205</v>
      </c>
      <c r="B11" s="202">
        <v>10139044.361006223</v>
      </c>
      <c r="C11" s="202">
        <v>27148576.709115308</v>
      </c>
      <c r="D11" s="202">
        <v>115120818.32815871</v>
      </c>
      <c r="E11" s="202">
        <v>529803587.11119556</v>
      </c>
      <c r="F11" s="202">
        <v>682212026.50947583</v>
      </c>
    </row>
    <row r="12" spans="1:6" x14ac:dyDescent="0.2">
      <c r="A12" s="201" t="s">
        <v>206</v>
      </c>
      <c r="B12" s="201">
        <v>18262792.84735319</v>
      </c>
      <c r="C12" s="201">
        <v>12882445.108543415</v>
      </c>
      <c r="D12" s="201">
        <v>4307911.3625815688</v>
      </c>
      <c r="E12" s="201">
        <v>454463.79835159209</v>
      </c>
      <c r="F12" s="201">
        <v>35907613.116829768</v>
      </c>
    </row>
    <row r="13" spans="1:6" x14ac:dyDescent="0.2">
      <c r="A13" s="201" t="s">
        <v>207</v>
      </c>
      <c r="B13" s="201">
        <v>1707775.3674832401</v>
      </c>
      <c r="C13" s="201">
        <v>1379785.5909428871</v>
      </c>
      <c r="D13" s="201">
        <v>1721394.1876982255</v>
      </c>
      <c r="E13" s="201">
        <v>4971143.8682007836</v>
      </c>
      <c r="F13" s="201">
        <v>9780099.0143251363</v>
      </c>
    </row>
    <row r="14" spans="1:6" x14ac:dyDescent="0.2">
      <c r="A14" s="202" t="s">
        <v>208</v>
      </c>
      <c r="B14" s="202">
        <v>19970568.21483643</v>
      </c>
      <c r="C14" s="202">
        <v>14262230.699486302</v>
      </c>
      <c r="D14" s="202">
        <v>6029305.5502797943</v>
      </c>
      <c r="E14" s="202">
        <v>5425607.666552376</v>
      </c>
      <c r="F14" s="202">
        <v>45687712.13115491</v>
      </c>
    </row>
    <row r="15" spans="1:6" x14ac:dyDescent="0.2">
      <c r="A15" s="202" t="s">
        <v>209</v>
      </c>
      <c r="B15" s="202">
        <v>2326337.7578179813</v>
      </c>
      <c r="C15" s="202">
        <v>2675483.287828315</v>
      </c>
      <c r="D15" s="202">
        <v>6013789.125315845</v>
      </c>
      <c r="E15" s="202">
        <v>7898321.8895438556</v>
      </c>
      <c r="F15" s="202">
        <v>18913932.060505997</v>
      </c>
    </row>
    <row r="16" spans="1:6" ht="10.8" thickBot="1" x14ac:dyDescent="0.25">
      <c r="A16" s="203" t="s">
        <v>210</v>
      </c>
      <c r="B16" s="203">
        <v>47477932.443890646</v>
      </c>
      <c r="C16" s="203">
        <v>83551441.275463074</v>
      </c>
      <c r="D16" s="203">
        <v>290528887.69355708</v>
      </c>
      <c r="E16" s="203">
        <v>1978805670.8598814</v>
      </c>
      <c r="F16" s="203">
        <v>2400363932.2727923</v>
      </c>
    </row>
    <row r="17" spans="1:6" ht="10.8" thickTop="1" x14ac:dyDescent="0.2">
      <c r="A17" s="213" t="s">
        <v>211</v>
      </c>
      <c r="B17" s="204"/>
      <c r="C17" s="204"/>
      <c r="D17" s="204"/>
      <c r="E17" s="204"/>
      <c r="F17" s="204"/>
    </row>
    <row r="18" spans="1:6" x14ac:dyDescent="0.2">
      <c r="A18" s="201"/>
      <c r="B18" s="201"/>
      <c r="C18" s="201"/>
      <c r="D18" s="201"/>
      <c r="E18" s="201"/>
      <c r="F18" s="201"/>
    </row>
    <row r="19" spans="1:6" ht="48.6" customHeight="1" thickBot="1" x14ac:dyDescent="0.3">
      <c r="A19" s="586" t="s">
        <v>415</v>
      </c>
      <c r="B19" s="586"/>
      <c r="C19" s="586"/>
      <c r="D19" s="586"/>
      <c r="E19" s="586"/>
      <c r="F19" s="586"/>
    </row>
    <row r="20" spans="1:6" ht="21" thickTop="1" x14ac:dyDescent="0.2">
      <c r="A20" s="198" t="s">
        <v>193</v>
      </c>
      <c r="B20" s="205" t="s">
        <v>115</v>
      </c>
      <c r="C20" s="206" t="s">
        <v>194</v>
      </c>
      <c r="D20" s="206" t="s">
        <v>195</v>
      </c>
      <c r="E20" s="205" t="s">
        <v>196</v>
      </c>
      <c r="F20" s="205" t="s">
        <v>189</v>
      </c>
    </row>
    <row r="21" spans="1:6" x14ac:dyDescent="0.2">
      <c r="A21" s="201" t="s">
        <v>197</v>
      </c>
      <c r="B21" s="207">
        <v>30.485598389700563</v>
      </c>
      <c r="C21" s="207">
        <v>46.148711422762005</v>
      </c>
      <c r="D21" s="207">
        <v>53.905624856898058</v>
      </c>
      <c r="E21" s="207">
        <v>67.878033793594398</v>
      </c>
      <c r="F21" s="207">
        <v>64.690925352261047</v>
      </c>
    </row>
    <row r="22" spans="1:6" x14ac:dyDescent="0.2">
      <c r="A22" s="201" t="s">
        <v>198</v>
      </c>
      <c r="B22" s="207">
        <v>0.33859554188828522</v>
      </c>
      <c r="C22" s="207">
        <v>0.19313098520338787</v>
      </c>
      <c r="D22" s="207">
        <v>0.59880495008164636</v>
      </c>
      <c r="E22" s="207">
        <v>1.9668754575408509</v>
      </c>
      <c r="F22" s="207">
        <v>1.7073438651035746</v>
      </c>
    </row>
    <row r="23" spans="1:6" x14ac:dyDescent="0.2">
      <c r="A23" s="201" t="s">
        <v>199</v>
      </c>
      <c r="B23" s="207">
        <v>0.65190511852603172</v>
      </c>
      <c r="C23" s="207">
        <v>0.59079769827309725</v>
      </c>
      <c r="D23" s="207">
        <v>1.2942643252210064</v>
      </c>
      <c r="E23" s="207">
        <v>2.3406977103325288</v>
      </c>
      <c r="F23" s="207">
        <v>2.1197286443623176</v>
      </c>
    </row>
    <row r="24" spans="1:6" x14ac:dyDescent="0.2">
      <c r="A24" s="201" t="s">
        <v>200</v>
      </c>
      <c r="B24" s="207">
        <v>6.4161479164174515E-2</v>
      </c>
      <c r="C24" s="207">
        <v>0.14110937006883015</v>
      </c>
      <c r="D24" s="207">
        <v>0.33444346360186045</v>
      </c>
      <c r="E24" s="207">
        <v>0.24651176093215019</v>
      </c>
      <c r="F24" s="207">
        <v>0.24987898522324503</v>
      </c>
    </row>
    <row r="25" spans="1:6" x14ac:dyDescent="0.2">
      <c r="A25" s="201" t="s">
        <v>201</v>
      </c>
      <c r="B25" s="207">
        <v>0.14178907978217301</v>
      </c>
      <c r="C25" s="207">
        <v>0.16080444230120408</v>
      </c>
      <c r="D25" s="207">
        <v>9.7062432401222518E-2</v>
      </c>
      <c r="E25" s="207">
        <v>0.120642538321654</v>
      </c>
      <c r="F25" s="207">
        <v>0.11960472781195439</v>
      </c>
    </row>
    <row r="26" spans="1:6" x14ac:dyDescent="0.2">
      <c r="A26" s="202" t="s">
        <v>202</v>
      </c>
      <c r="B26" s="208">
        <v>31.682049609061224</v>
      </c>
      <c r="C26" s="208">
        <v>47.234553918608526</v>
      </c>
      <c r="D26" s="208">
        <v>56.230200028203804</v>
      </c>
      <c r="E26" s="208">
        <v>72.552761260721567</v>
      </c>
      <c r="F26" s="208">
        <v>68.88748157476212</v>
      </c>
    </row>
    <row r="27" spans="1:6" x14ac:dyDescent="0.2">
      <c r="A27" s="201" t="s">
        <v>203</v>
      </c>
      <c r="B27" s="207">
        <v>9.3005147969018793</v>
      </c>
      <c r="C27" s="207">
        <v>23.489571994096107</v>
      </c>
      <c r="D27" s="207">
        <v>33.167500765643901</v>
      </c>
      <c r="E27" s="207">
        <v>23.120951327620698</v>
      </c>
      <c r="F27" s="207">
        <v>24.076408889105156</v>
      </c>
    </row>
    <row r="28" spans="1:6" x14ac:dyDescent="0.2">
      <c r="A28" s="201" t="s">
        <v>204</v>
      </c>
      <c r="B28" s="207">
        <v>12.054762990285949</v>
      </c>
      <c r="C28" s="207">
        <v>9.0036756323672229</v>
      </c>
      <c r="D28" s="207">
        <v>6.457067807235978</v>
      </c>
      <c r="E28" s="207">
        <v>3.6529555250401682</v>
      </c>
      <c r="F28" s="207">
        <v>4.3447824701368241</v>
      </c>
    </row>
    <row r="29" spans="1:6" x14ac:dyDescent="0.2">
      <c r="A29" s="202" t="s">
        <v>205</v>
      </c>
      <c r="B29" s="208">
        <v>21.355277787187831</v>
      </c>
      <c r="C29" s="208">
        <v>32.493247626463329</v>
      </c>
      <c r="D29" s="208">
        <v>39.62456857287988</v>
      </c>
      <c r="E29" s="208">
        <v>26.773906852660861</v>
      </c>
      <c r="F29" s="208">
        <v>28.421191359241977</v>
      </c>
    </row>
    <row r="30" spans="1:6" x14ac:dyDescent="0.2">
      <c r="A30" s="201" t="s">
        <v>206</v>
      </c>
      <c r="B30" s="207">
        <v>38.465855413851756</v>
      </c>
      <c r="C30" s="207">
        <v>15.418579155410283</v>
      </c>
      <c r="D30" s="207">
        <v>1.4827824512671011</v>
      </c>
      <c r="E30" s="207">
        <v>2.2966570444186509E-2</v>
      </c>
      <c r="F30" s="207">
        <v>1.4959237069868205</v>
      </c>
    </row>
    <row r="31" spans="1:6" x14ac:dyDescent="0.2">
      <c r="A31" s="201" t="s">
        <v>207</v>
      </c>
      <c r="B31" s="207">
        <v>3.5969876521086643</v>
      </c>
      <c r="C31" s="207">
        <v>1.6514204541293713</v>
      </c>
      <c r="D31" s="207">
        <v>0.59250362377524091</v>
      </c>
      <c r="E31" s="207">
        <v>0.25121940680716737</v>
      </c>
      <c r="F31" s="207">
        <v>0.40744234167294868</v>
      </c>
    </row>
    <row r="32" spans="1:6" x14ac:dyDescent="0.2">
      <c r="A32" s="202" t="s">
        <v>208</v>
      </c>
      <c r="B32" s="208">
        <v>42.062843065960422</v>
      </c>
      <c r="C32" s="208">
        <v>17.069999609539657</v>
      </c>
      <c r="D32" s="208">
        <v>2.0752860750423419</v>
      </c>
      <c r="E32" s="208">
        <v>0.27418597725135396</v>
      </c>
      <c r="F32" s="208">
        <v>1.9033660486597694</v>
      </c>
    </row>
    <row r="33" spans="1:6" x14ac:dyDescent="0.2">
      <c r="A33" s="202" t="s">
        <v>209</v>
      </c>
      <c r="B33" s="208">
        <v>4.8998295377905174</v>
      </c>
      <c r="C33" s="208">
        <v>3.2021988453884833</v>
      </c>
      <c r="D33" s="208">
        <v>2.0699453238739709</v>
      </c>
      <c r="E33" s="208">
        <v>0.39914590936621253</v>
      </c>
      <c r="F33" s="208">
        <v>0.78796101733612045</v>
      </c>
    </row>
    <row r="34" spans="1:6" ht="10.8" thickBot="1" x14ac:dyDescent="0.25">
      <c r="A34" s="209" t="s">
        <v>210</v>
      </c>
      <c r="B34" s="210">
        <v>100</v>
      </c>
      <c r="C34" s="210">
        <v>100</v>
      </c>
      <c r="D34" s="210">
        <v>100</v>
      </c>
      <c r="E34" s="210">
        <v>100</v>
      </c>
      <c r="F34" s="210">
        <v>100</v>
      </c>
    </row>
    <row r="35" spans="1:6" ht="10.8" thickTop="1" x14ac:dyDescent="0.2">
      <c r="A35" s="212" t="s">
        <v>211</v>
      </c>
      <c r="B35" s="211"/>
      <c r="C35" s="211"/>
      <c r="D35" s="211"/>
      <c r="E35" s="211"/>
      <c r="F35" s="211"/>
    </row>
    <row r="36" spans="1:6" x14ac:dyDescent="0.2">
      <c r="A36" s="201"/>
      <c r="B36" s="201"/>
      <c r="C36" s="201"/>
      <c r="D36" s="201"/>
      <c r="E36" s="201"/>
      <c r="F36" s="201"/>
    </row>
    <row r="37" spans="1:6" ht="55.8" customHeight="1" thickBot="1" x14ac:dyDescent="0.3">
      <c r="A37" s="586" t="s">
        <v>416</v>
      </c>
      <c r="B37" s="586"/>
      <c r="C37" s="586"/>
      <c r="D37" s="586"/>
      <c r="E37" s="586"/>
      <c r="F37" s="586"/>
    </row>
    <row r="38" spans="1:6" ht="21" thickTop="1" x14ac:dyDescent="0.2">
      <c r="A38" s="198" t="s">
        <v>193</v>
      </c>
      <c r="B38" s="205" t="s">
        <v>115</v>
      </c>
      <c r="C38" s="206" t="s">
        <v>194</v>
      </c>
      <c r="D38" s="206" t="s">
        <v>195</v>
      </c>
      <c r="E38" s="205" t="s">
        <v>196</v>
      </c>
      <c r="F38" s="205" t="s">
        <v>189</v>
      </c>
    </row>
    <row r="39" spans="1:6" x14ac:dyDescent="0.2">
      <c r="A39" s="201" t="s">
        <v>197</v>
      </c>
      <c r="B39" s="207">
        <v>0.9321076370706749</v>
      </c>
      <c r="C39" s="207">
        <v>2.4830934773175364</v>
      </c>
      <c r="D39" s="207">
        <v>10.085628106364327</v>
      </c>
      <c r="E39" s="207">
        <v>86.499170779247464</v>
      </c>
      <c r="F39" s="207">
        <v>100</v>
      </c>
    </row>
    <row r="40" spans="1:6" x14ac:dyDescent="0.2">
      <c r="A40" s="201" t="s">
        <v>198</v>
      </c>
      <c r="B40" s="207">
        <v>0.39226083005989948</v>
      </c>
      <c r="C40" s="207">
        <v>0.39373843525377622</v>
      </c>
      <c r="D40" s="207">
        <v>4.244989422026995</v>
      </c>
      <c r="E40" s="207">
        <v>94.969011312659319</v>
      </c>
      <c r="F40" s="207">
        <v>100</v>
      </c>
    </row>
    <row r="41" spans="1:6" x14ac:dyDescent="0.2">
      <c r="A41" s="201" t="s">
        <v>199</v>
      </c>
      <c r="B41" s="207">
        <v>0.60830141696978413</v>
      </c>
      <c r="C41" s="207">
        <v>0.97014216265719833</v>
      </c>
      <c r="D41" s="207">
        <v>7.3901787139487212</v>
      </c>
      <c r="E41" s="207">
        <v>91.031377706424294</v>
      </c>
      <c r="F41" s="207">
        <v>100</v>
      </c>
    </row>
    <row r="42" spans="1:6" x14ac:dyDescent="0.2">
      <c r="A42" s="201" t="s">
        <v>200</v>
      </c>
      <c r="B42" s="207">
        <v>0.50787792860494152</v>
      </c>
      <c r="C42" s="207">
        <v>1.9656354365646111</v>
      </c>
      <c r="D42" s="207">
        <v>16.199634194947826</v>
      </c>
      <c r="E42" s="207">
        <v>81.326852439882629</v>
      </c>
      <c r="F42" s="207">
        <v>100</v>
      </c>
    </row>
    <row r="43" spans="1:6" x14ac:dyDescent="0.2">
      <c r="A43" s="201" t="s">
        <v>201</v>
      </c>
      <c r="B43" s="207">
        <v>2.3448180175954554</v>
      </c>
      <c r="C43" s="207">
        <v>4.679791977675448</v>
      </c>
      <c r="D43" s="207">
        <v>9.8223420202245304</v>
      </c>
      <c r="E43" s="207">
        <v>83.153047984504568</v>
      </c>
      <c r="F43" s="207">
        <v>100</v>
      </c>
    </row>
    <row r="44" spans="1:6" x14ac:dyDescent="0.2">
      <c r="A44" s="202" t="s">
        <v>202</v>
      </c>
      <c r="B44" s="208">
        <v>0.90967794930726864</v>
      </c>
      <c r="C44" s="208">
        <v>2.3866919256220598</v>
      </c>
      <c r="D44" s="208">
        <v>9.8796497745722416</v>
      </c>
      <c r="E44" s="208">
        <v>86.823980350498445</v>
      </c>
      <c r="F44" s="208">
        <v>100</v>
      </c>
    </row>
    <row r="45" spans="1:6" x14ac:dyDescent="0.2">
      <c r="A45" s="201" t="s">
        <v>203</v>
      </c>
      <c r="B45" s="207">
        <v>0.76406443221474118</v>
      </c>
      <c r="C45" s="207">
        <v>3.3959418627639106</v>
      </c>
      <c r="D45" s="207">
        <v>16.67374926548608</v>
      </c>
      <c r="E45" s="207">
        <v>79.166244439535262</v>
      </c>
      <c r="F45" s="207">
        <v>100</v>
      </c>
    </row>
    <row r="46" spans="1:6" x14ac:dyDescent="0.2">
      <c r="A46" s="201" t="s">
        <v>204</v>
      </c>
      <c r="B46" s="207">
        <v>5.4878893242183358</v>
      </c>
      <c r="C46" s="207">
        <v>7.2132113370086977</v>
      </c>
      <c r="D46" s="207">
        <v>17.987861642500665</v>
      </c>
      <c r="E46" s="207">
        <v>69.311037696272294</v>
      </c>
      <c r="F46" s="207">
        <v>100</v>
      </c>
    </row>
    <row r="47" spans="1:6" x14ac:dyDescent="0.2">
      <c r="A47" s="202" t="s">
        <v>205</v>
      </c>
      <c r="B47" s="208">
        <v>1.486201351929024</v>
      </c>
      <c r="C47" s="208">
        <v>3.9794925410536162</v>
      </c>
      <c r="D47" s="208">
        <v>16.874639240409184</v>
      </c>
      <c r="E47" s="208">
        <v>77.659666866608163</v>
      </c>
      <c r="F47" s="208">
        <v>100</v>
      </c>
    </row>
    <row r="48" spans="1:6" x14ac:dyDescent="0.2">
      <c r="A48" s="201" t="s">
        <v>206</v>
      </c>
      <c r="B48" s="207">
        <v>50.860503559323142</v>
      </c>
      <c r="C48" s="207">
        <v>35.876640050199995</v>
      </c>
      <c r="D48" s="207">
        <v>11.997208916575037</v>
      </c>
      <c r="E48" s="207">
        <v>1.2656474739018133</v>
      </c>
      <c r="F48" s="207">
        <v>100</v>
      </c>
    </row>
    <row r="49" spans="1:6" x14ac:dyDescent="0.2">
      <c r="A49" s="201" t="s">
        <v>207</v>
      </c>
      <c r="B49" s="207">
        <v>17.461739037425104</v>
      </c>
      <c r="C49" s="207">
        <v>14.10809429354328</v>
      </c>
      <c r="D49" s="207">
        <v>17.600989368071428</v>
      </c>
      <c r="E49" s="207">
        <v>50.829177300960197</v>
      </c>
      <c r="F49" s="207">
        <v>100</v>
      </c>
    </row>
    <row r="50" spans="1:6" x14ac:dyDescent="0.2">
      <c r="A50" s="202" t="s">
        <v>208</v>
      </c>
      <c r="B50" s="208">
        <v>43.711027064579802</v>
      </c>
      <c r="C50" s="208">
        <v>31.216775877382453</v>
      </c>
      <c r="D50" s="208">
        <v>13.196777139926755</v>
      </c>
      <c r="E50" s="208">
        <v>11.875419918110978</v>
      </c>
      <c r="F50" s="208">
        <v>100</v>
      </c>
    </row>
    <row r="51" spans="1:6" x14ac:dyDescent="0.2">
      <c r="A51" s="204" t="s">
        <v>209</v>
      </c>
      <c r="B51" s="211">
        <v>12.299598784514961</v>
      </c>
      <c r="C51" s="211">
        <v>14.145568881549311</v>
      </c>
      <c r="D51" s="211">
        <v>31.795552115116145</v>
      </c>
      <c r="E51" s="211">
        <v>41.759280218819576</v>
      </c>
      <c r="F51" s="211">
        <v>100</v>
      </c>
    </row>
    <row r="52" spans="1:6" ht="10.8" thickBot="1" x14ac:dyDescent="0.25">
      <c r="A52" s="203" t="s">
        <v>210</v>
      </c>
      <c r="B52" s="210">
        <v>1.9779472523125279</v>
      </c>
      <c r="C52" s="210">
        <v>3.4807822327321896</v>
      </c>
      <c r="D52" s="210">
        <v>12.103534959320475</v>
      </c>
      <c r="E52" s="210">
        <v>82.437735555634802</v>
      </c>
      <c r="F52" s="210">
        <v>100</v>
      </c>
    </row>
    <row r="53" spans="1:6" ht="10.8" thickTop="1" x14ac:dyDescent="0.2">
      <c r="A53" s="212" t="s">
        <v>211</v>
      </c>
    </row>
  </sheetData>
  <mergeCells count="3">
    <mergeCell ref="A1:F1"/>
    <mergeCell ref="A19:F19"/>
    <mergeCell ref="A37:F3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zoomScale="110" zoomScaleNormal="110" workbookViewId="0">
      <selection sqref="A1:G1"/>
    </sheetView>
  </sheetViews>
  <sheetFormatPr baseColWidth="10" defaultColWidth="9.109375" defaultRowHeight="14.4" x14ac:dyDescent="0.3"/>
  <cols>
    <col min="1" max="1" width="27.109375" customWidth="1"/>
    <col min="2" max="2" width="11.88671875" customWidth="1"/>
    <col min="3" max="7" width="13" customWidth="1"/>
  </cols>
  <sheetData>
    <row r="1" spans="1:7" ht="57" customHeight="1" thickBot="1" x14ac:dyDescent="0.35">
      <c r="A1" s="587" t="s">
        <v>221</v>
      </c>
      <c r="B1" s="588"/>
      <c r="C1" s="588"/>
      <c r="D1" s="588"/>
      <c r="E1" s="588"/>
      <c r="F1" s="588"/>
      <c r="G1" s="588"/>
    </row>
    <row r="2" spans="1:7" ht="38.25" customHeight="1" thickTop="1" thickBot="1" x14ac:dyDescent="0.35">
      <c r="A2" s="598" t="s">
        <v>212</v>
      </c>
      <c r="B2" s="598"/>
      <c r="C2" s="228" t="s">
        <v>213</v>
      </c>
      <c r="D2" s="228" t="s">
        <v>214</v>
      </c>
      <c r="E2" s="228" t="s">
        <v>215</v>
      </c>
      <c r="F2" s="228" t="s">
        <v>216</v>
      </c>
      <c r="G2" s="228" t="s">
        <v>120</v>
      </c>
    </row>
    <row r="3" spans="1:7" ht="14.1" customHeight="1" thickTop="1" x14ac:dyDescent="0.3">
      <c r="A3" s="589" t="s">
        <v>217</v>
      </c>
      <c r="B3" s="214" t="s">
        <v>61</v>
      </c>
      <c r="C3" s="217">
        <v>3.937314367438697</v>
      </c>
      <c r="D3" s="217">
        <v>4.4437765337544599</v>
      </c>
      <c r="E3" s="217">
        <v>13.711357734957444</v>
      </c>
      <c r="F3" s="217">
        <v>9.7377968684444909</v>
      </c>
      <c r="G3" s="217">
        <v>5.6639020932687929</v>
      </c>
    </row>
    <row r="4" spans="1:7" ht="14.1" customHeight="1" x14ac:dyDescent="0.3">
      <c r="A4" s="590"/>
      <c r="B4" s="215" t="s">
        <v>62</v>
      </c>
      <c r="C4" s="218">
        <v>5.2379743747127332</v>
      </c>
      <c r="D4" s="218">
        <v>5.3351090819645268</v>
      </c>
      <c r="E4" s="218">
        <v>19.223606799771932</v>
      </c>
      <c r="F4" s="218">
        <v>10.872504902293148</v>
      </c>
      <c r="G4" s="218">
        <v>7.2624365667372803</v>
      </c>
    </row>
    <row r="5" spans="1:7" ht="14.1" customHeight="1" x14ac:dyDescent="0.3">
      <c r="A5" s="590"/>
      <c r="B5" s="215" t="s">
        <v>63</v>
      </c>
      <c r="C5" s="218">
        <v>4.2318563551291088</v>
      </c>
      <c r="D5" s="218">
        <v>7.3728004281120905</v>
      </c>
      <c r="E5" s="218">
        <v>13.883646805623426</v>
      </c>
      <c r="F5" s="218">
        <v>13.396246229935993</v>
      </c>
      <c r="G5" s="218">
        <v>8.1798432395376111</v>
      </c>
    </row>
    <row r="6" spans="1:7" ht="14.1" customHeight="1" x14ac:dyDescent="0.3">
      <c r="A6" s="590"/>
      <c r="B6" s="215" t="s">
        <v>64</v>
      </c>
      <c r="C6" s="218">
        <v>3.6510433634945847</v>
      </c>
      <c r="D6" s="218">
        <v>5.5219394367960941</v>
      </c>
      <c r="E6" s="218">
        <v>13.828121405607153</v>
      </c>
      <c r="F6" s="218">
        <v>11.25701646021335</v>
      </c>
      <c r="G6" s="218">
        <v>7.0529277112487119</v>
      </c>
    </row>
    <row r="7" spans="1:7" ht="14.1" customHeight="1" x14ac:dyDescent="0.3">
      <c r="A7" s="590"/>
      <c r="B7" s="215" t="s">
        <v>65</v>
      </c>
      <c r="C7" s="218">
        <v>3.6203943609784592</v>
      </c>
      <c r="D7" s="218">
        <v>6.2133026506348168</v>
      </c>
      <c r="E7" s="218">
        <v>17.343174513495192</v>
      </c>
      <c r="F7" s="218">
        <v>11.688540391749594</v>
      </c>
      <c r="G7" s="218">
        <v>7.9809125852288147</v>
      </c>
    </row>
    <row r="8" spans="1:7" ht="14.1" customHeight="1" x14ac:dyDescent="0.3">
      <c r="A8" s="591" t="s">
        <v>218</v>
      </c>
      <c r="B8" s="226" t="s">
        <v>61</v>
      </c>
      <c r="C8" s="227">
        <v>0.87844485565916375</v>
      </c>
      <c r="D8" s="227">
        <v>1.2225201007457267</v>
      </c>
      <c r="E8" s="227">
        <v>4.1269917359361692</v>
      </c>
      <c r="F8" s="227">
        <v>2.4204156074013596</v>
      </c>
      <c r="G8" s="227">
        <v>1.5261002068865537</v>
      </c>
    </row>
    <row r="9" spans="1:7" ht="14.1" customHeight="1" x14ac:dyDescent="0.3">
      <c r="A9" s="590"/>
      <c r="B9" s="215" t="s">
        <v>62</v>
      </c>
      <c r="C9" s="218">
        <v>1.1935605412076029</v>
      </c>
      <c r="D9" s="218">
        <v>1.0705099862735095</v>
      </c>
      <c r="E9" s="218">
        <v>4.7301817364419838</v>
      </c>
      <c r="F9" s="218">
        <v>0.96540349940913051</v>
      </c>
      <c r="G9" s="218">
        <v>1.4320802363610572</v>
      </c>
    </row>
    <row r="10" spans="1:7" ht="14.1" customHeight="1" x14ac:dyDescent="0.3">
      <c r="A10" s="590"/>
      <c r="B10" s="215" t="s">
        <v>63</v>
      </c>
      <c r="C10" s="218">
        <v>0.36715304143867777</v>
      </c>
      <c r="D10" s="218">
        <v>1.9460632770444928</v>
      </c>
      <c r="E10" s="218">
        <v>5.4977742079797904</v>
      </c>
      <c r="F10" s="218">
        <v>1.8474297691571864</v>
      </c>
      <c r="G10" s="218">
        <v>1.9962950759564029</v>
      </c>
    </row>
    <row r="11" spans="1:7" ht="14.1" customHeight="1" x14ac:dyDescent="0.3">
      <c r="A11" s="590"/>
      <c r="B11" s="215" t="s">
        <v>64</v>
      </c>
      <c r="C11" s="218">
        <v>0.58765941839796276</v>
      </c>
      <c r="D11" s="218">
        <v>1.1469160839365169</v>
      </c>
      <c r="E11" s="218">
        <v>3.6794526398452549</v>
      </c>
      <c r="F11" s="218">
        <v>2.7464957079046703</v>
      </c>
      <c r="G11" s="218">
        <v>1.5942557277113416</v>
      </c>
    </row>
    <row r="12" spans="1:7" ht="14.1" customHeight="1" x14ac:dyDescent="0.3">
      <c r="A12" s="592"/>
      <c r="B12" s="222" t="s">
        <v>65</v>
      </c>
      <c r="C12" s="223">
        <v>0.36497411834514626</v>
      </c>
      <c r="D12" s="223">
        <v>0.89488468105800301</v>
      </c>
      <c r="E12" s="223">
        <v>1.9509453671952928</v>
      </c>
      <c r="F12" s="223">
        <v>0.74735387779184925</v>
      </c>
      <c r="G12" s="223">
        <v>0.90221737729435869</v>
      </c>
    </row>
    <row r="13" spans="1:7" ht="14.1" customHeight="1" x14ac:dyDescent="0.3">
      <c r="A13" s="593" t="s">
        <v>163</v>
      </c>
      <c r="B13" s="220" t="s">
        <v>61</v>
      </c>
      <c r="C13" s="221">
        <v>1.8968489597264331</v>
      </c>
      <c r="D13" s="221">
        <v>3.2604997573734757</v>
      </c>
      <c r="E13" s="221">
        <v>13.242565490582683</v>
      </c>
      <c r="F13" s="221">
        <v>6.3507353547508387</v>
      </c>
      <c r="G13" s="221">
        <v>4.1689290000348063</v>
      </c>
    </row>
    <row r="14" spans="1:7" ht="14.1" customHeight="1" x14ac:dyDescent="0.3">
      <c r="A14" s="594"/>
      <c r="B14" s="215" t="s">
        <v>62</v>
      </c>
      <c r="C14" s="218">
        <v>2.5485817768808992</v>
      </c>
      <c r="D14" s="218">
        <v>3.7435155525089128</v>
      </c>
      <c r="E14" s="218">
        <v>18.248828010416478</v>
      </c>
      <c r="F14" s="218">
        <v>7.4606035305984131</v>
      </c>
      <c r="G14" s="218">
        <v>5.2824693809617385</v>
      </c>
    </row>
    <row r="15" spans="1:7" ht="14.1" customHeight="1" x14ac:dyDescent="0.3">
      <c r="A15" s="594"/>
      <c r="B15" s="215" t="s">
        <v>63</v>
      </c>
      <c r="C15" s="218">
        <v>2.0990201440353387</v>
      </c>
      <c r="D15" s="218">
        <v>5.4630751438633487</v>
      </c>
      <c r="E15" s="218">
        <v>12.744630601178914</v>
      </c>
      <c r="F15" s="218">
        <v>8.2045094622257917</v>
      </c>
      <c r="G15" s="218">
        <v>5.9031964178640015</v>
      </c>
    </row>
    <row r="16" spans="1:7" ht="14.1" customHeight="1" x14ac:dyDescent="0.3">
      <c r="A16" s="594"/>
      <c r="B16" s="215" t="s">
        <v>64</v>
      </c>
      <c r="C16" s="218">
        <v>2.2123839983925495</v>
      </c>
      <c r="D16" s="218">
        <v>4.4753770362270497</v>
      </c>
      <c r="E16" s="218">
        <v>13.448920570730044</v>
      </c>
      <c r="F16" s="218">
        <v>8.1624808786950815</v>
      </c>
      <c r="G16" s="218">
        <v>5.7205861579164168</v>
      </c>
    </row>
    <row r="17" spans="1:8" ht="14.1" customHeight="1" thickBot="1" x14ac:dyDescent="0.35">
      <c r="A17" s="594"/>
      <c r="B17" s="224" t="s">
        <v>65</v>
      </c>
      <c r="C17" s="225">
        <v>2.3204565095296612</v>
      </c>
      <c r="D17" s="225">
        <v>5.0345051825734375</v>
      </c>
      <c r="E17" s="225">
        <v>14.993121494455256</v>
      </c>
      <c r="F17" s="225">
        <v>7.0237129136206944</v>
      </c>
      <c r="G17" s="225">
        <v>6.0660551798158995</v>
      </c>
    </row>
    <row r="18" spans="1:8" ht="14.1" customHeight="1" x14ac:dyDescent="0.3">
      <c r="A18" s="595" t="s">
        <v>219</v>
      </c>
      <c r="B18" s="215" t="s">
        <v>61</v>
      </c>
      <c r="C18" s="218">
        <v>4.8232495659609675</v>
      </c>
      <c r="D18" s="218">
        <v>6.8085190296119942</v>
      </c>
      <c r="E18" s="218">
        <v>19.873313839529754</v>
      </c>
      <c r="F18" s="218">
        <v>12.856692393802041</v>
      </c>
      <c r="G18" s="218">
        <v>8.1638242447283194</v>
      </c>
    </row>
    <row r="19" spans="1:8" ht="14.1" customHeight="1" x14ac:dyDescent="0.3">
      <c r="A19" s="594"/>
      <c r="B19" s="215" t="s">
        <v>62</v>
      </c>
      <c r="C19" s="218">
        <v>6.2193402359745447</v>
      </c>
      <c r="D19" s="218">
        <v>7.1644939182545526</v>
      </c>
      <c r="E19" s="218">
        <v>29.065837180709963</v>
      </c>
      <c r="F19" s="218">
        <v>16.067809832789457</v>
      </c>
      <c r="G19" s="218">
        <v>10.050948856637735</v>
      </c>
    </row>
    <row r="20" spans="1:8" ht="14.1" customHeight="1" x14ac:dyDescent="0.3">
      <c r="A20" s="594"/>
      <c r="B20" s="215" t="s">
        <v>63</v>
      </c>
      <c r="C20" s="218">
        <v>5.5903356358999448</v>
      </c>
      <c r="D20" s="218">
        <v>9.7140099437296108</v>
      </c>
      <c r="E20" s="218">
        <v>25.924341213720552</v>
      </c>
      <c r="F20" s="218">
        <v>16.631201656666459</v>
      </c>
      <c r="G20" s="218">
        <v>11.489304728112625</v>
      </c>
    </row>
    <row r="21" spans="1:8" ht="14.1" customHeight="1" x14ac:dyDescent="0.3">
      <c r="A21" s="594"/>
      <c r="B21" s="215" t="s">
        <v>64</v>
      </c>
      <c r="C21" s="218">
        <v>6.6740857695844094</v>
      </c>
      <c r="D21" s="218">
        <v>7.4975039382115343</v>
      </c>
      <c r="E21" s="218">
        <v>24.274581510070611</v>
      </c>
      <c r="F21" s="218">
        <v>16.389059221065381</v>
      </c>
      <c r="G21" s="218">
        <v>10.759007138854402</v>
      </c>
    </row>
    <row r="22" spans="1:8" ht="14.1" customHeight="1" thickBot="1" x14ac:dyDescent="0.35">
      <c r="A22" s="596"/>
      <c r="B22" s="216" t="s">
        <v>65</v>
      </c>
      <c r="C22" s="219">
        <v>6.258201555351774</v>
      </c>
      <c r="D22" s="219">
        <v>9.9125755114506422</v>
      </c>
      <c r="E22" s="219">
        <v>30.424332582697993</v>
      </c>
      <c r="F22" s="219">
        <v>14.853354440398958</v>
      </c>
      <c r="G22" s="219">
        <v>12.519467183104089</v>
      </c>
    </row>
    <row r="23" spans="1:8" ht="15" thickTop="1" x14ac:dyDescent="0.3">
      <c r="A23" s="601" t="s">
        <v>220</v>
      </c>
      <c r="B23" s="590"/>
      <c r="C23" s="590"/>
      <c r="D23" s="590"/>
      <c r="E23" s="590"/>
      <c r="F23" s="590"/>
      <c r="G23" s="590"/>
    </row>
    <row r="25" spans="1:8" ht="47.25" customHeight="1" thickBot="1" x14ac:dyDescent="0.35">
      <c r="A25" s="600" t="s">
        <v>222</v>
      </c>
      <c r="B25" s="600"/>
      <c r="C25" s="600"/>
      <c r="D25" s="600"/>
      <c r="E25" s="600"/>
      <c r="F25" s="600"/>
      <c r="G25" s="600"/>
      <c r="H25" s="229"/>
    </row>
    <row r="26" spans="1:8" ht="22.8" thickTop="1" thickBot="1" x14ac:dyDescent="0.35">
      <c r="A26" s="599" t="s">
        <v>212</v>
      </c>
      <c r="B26" s="599"/>
      <c r="C26" s="230" t="s">
        <v>213</v>
      </c>
      <c r="D26" s="230" t="s">
        <v>214</v>
      </c>
      <c r="E26" s="230" t="s">
        <v>215</v>
      </c>
      <c r="F26" s="230" t="s">
        <v>216</v>
      </c>
      <c r="G26" s="230" t="s">
        <v>120</v>
      </c>
      <c r="H26" s="229"/>
    </row>
    <row r="27" spans="1:8" ht="15" thickTop="1" x14ac:dyDescent="0.3">
      <c r="A27" s="589" t="s">
        <v>217</v>
      </c>
      <c r="B27" s="214" t="s">
        <v>61</v>
      </c>
      <c r="C27" s="217">
        <v>12.16651437970846</v>
      </c>
      <c r="D27" s="217">
        <v>50.264830861795438</v>
      </c>
      <c r="E27" s="217">
        <v>20.285098363222229</v>
      </c>
      <c r="F27" s="217">
        <v>17.283556395273784</v>
      </c>
      <c r="G27" s="217">
        <v>100</v>
      </c>
      <c r="H27" s="229"/>
    </row>
    <row r="28" spans="1:8" x14ac:dyDescent="0.3">
      <c r="A28" s="590"/>
      <c r="B28" s="215" t="s">
        <v>62</v>
      </c>
      <c r="C28" s="218">
        <v>15.697934144770317</v>
      </c>
      <c r="D28" s="218">
        <v>42.121810707702288</v>
      </c>
      <c r="E28" s="218">
        <v>25.082974479590188</v>
      </c>
      <c r="F28" s="218">
        <v>17.097280667936296</v>
      </c>
      <c r="G28" s="218">
        <v>100</v>
      </c>
      <c r="H28" s="229"/>
    </row>
    <row r="29" spans="1:8" x14ac:dyDescent="0.3">
      <c r="A29" s="590"/>
      <c r="B29" s="215" t="s">
        <v>63</v>
      </c>
      <c r="C29" s="218">
        <v>10.68364258114571</v>
      </c>
      <c r="D29" s="218">
        <v>50.53591788403439</v>
      </c>
      <c r="E29" s="218">
        <v>18.563933649952222</v>
      </c>
      <c r="F29" s="218">
        <v>20.216505884867313</v>
      </c>
      <c r="G29" s="218">
        <v>100</v>
      </c>
      <c r="H29" s="229"/>
    </row>
    <row r="30" spans="1:8" x14ac:dyDescent="0.3">
      <c r="A30" s="590"/>
      <c r="B30" s="215" t="s">
        <v>64</v>
      </c>
      <c r="C30" s="218">
        <v>9.787706020984583</v>
      </c>
      <c r="D30" s="218">
        <v>42.217188479608105</v>
      </c>
      <c r="E30" s="218">
        <v>24.896379203807633</v>
      </c>
      <c r="F30" s="218">
        <v>23.098726295599793</v>
      </c>
      <c r="G30" s="218">
        <v>100</v>
      </c>
      <c r="H30" s="229"/>
    </row>
    <row r="31" spans="1:8" x14ac:dyDescent="0.3">
      <c r="A31" s="590"/>
      <c r="B31" s="215" t="s">
        <v>65</v>
      </c>
      <c r="C31" s="218">
        <v>8.0375616942864525</v>
      </c>
      <c r="D31" s="218">
        <v>41.952417425617782</v>
      </c>
      <c r="E31" s="218">
        <v>25.839208150282168</v>
      </c>
      <c r="F31" s="218">
        <v>24.170812729812958</v>
      </c>
      <c r="G31" s="218">
        <v>100</v>
      </c>
      <c r="H31" s="229"/>
    </row>
    <row r="32" spans="1:8" x14ac:dyDescent="0.3">
      <c r="A32" s="591" t="s">
        <v>218</v>
      </c>
      <c r="B32" s="226" t="s">
        <v>61</v>
      </c>
      <c r="C32" s="227">
        <v>10.074262718670754</v>
      </c>
      <c r="D32" s="227">
        <v>51.321661641400418</v>
      </c>
      <c r="E32" s="227">
        <v>22.660158409402239</v>
      </c>
      <c r="F32" s="227">
        <v>15.943917230526589</v>
      </c>
      <c r="G32" s="227">
        <v>100</v>
      </c>
      <c r="H32" s="229"/>
    </row>
    <row r="33" spans="1:8" x14ac:dyDescent="0.3">
      <c r="A33" s="590"/>
      <c r="B33" s="215" t="s">
        <v>62</v>
      </c>
      <c r="C33" s="218">
        <v>18.140054476443854</v>
      </c>
      <c r="D33" s="218">
        <v>42.861705946886239</v>
      </c>
      <c r="E33" s="218">
        <v>31.299470405986828</v>
      </c>
      <c r="F33" s="218">
        <v>7.6987691706830539</v>
      </c>
      <c r="G33" s="218">
        <v>100</v>
      </c>
      <c r="H33" s="229"/>
    </row>
    <row r="34" spans="1:8" x14ac:dyDescent="0.3">
      <c r="A34" s="590"/>
      <c r="B34" s="215" t="s">
        <v>63</v>
      </c>
      <c r="C34" s="218">
        <v>3.7980074135461237</v>
      </c>
      <c r="D34" s="218">
        <v>54.656885733713899</v>
      </c>
      <c r="E34" s="218">
        <v>30.121291947192248</v>
      </c>
      <c r="F34" s="218">
        <v>11.423814905547475</v>
      </c>
      <c r="G34" s="218">
        <v>100</v>
      </c>
      <c r="H34" s="229"/>
    </row>
    <row r="35" spans="1:8" x14ac:dyDescent="0.3">
      <c r="A35" s="590"/>
      <c r="B35" s="215" t="s">
        <v>64</v>
      </c>
      <c r="C35" s="218">
        <v>6.9694911843745277</v>
      </c>
      <c r="D35" s="218">
        <v>38.791873787567418</v>
      </c>
      <c r="E35" s="218">
        <v>29.3067507204347</v>
      </c>
      <c r="F35" s="218">
        <v>24.931884307623253</v>
      </c>
      <c r="G35" s="218">
        <v>100</v>
      </c>
      <c r="H35" s="229"/>
    </row>
    <row r="36" spans="1:8" x14ac:dyDescent="0.3">
      <c r="A36" s="592"/>
      <c r="B36" s="222" t="s">
        <v>65</v>
      </c>
      <c r="C36" s="223">
        <v>7.1675688638901631</v>
      </c>
      <c r="D36" s="223">
        <v>53.449410873044236</v>
      </c>
      <c r="E36" s="223">
        <v>25.712072298391409</v>
      </c>
      <c r="F36" s="223">
        <v>13.670947964674216</v>
      </c>
      <c r="G36" s="223">
        <v>100</v>
      </c>
      <c r="H36" s="229"/>
    </row>
    <row r="37" spans="1:8" x14ac:dyDescent="0.3">
      <c r="A37" s="593" t="s">
        <v>163</v>
      </c>
      <c r="B37" s="220" t="s">
        <v>61</v>
      </c>
      <c r="C37" s="221">
        <v>7.9632448891315946</v>
      </c>
      <c r="D37" s="221">
        <v>50.10573361369002</v>
      </c>
      <c r="E37" s="221">
        <v>26.617056354796016</v>
      </c>
      <c r="F37" s="221">
        <v>15.31396514238256</v>
      </c>
      <c r="G37" s="221">
        <v>100</v>
      </c>
      <c r="H37" s="229"/>
    </row>
    <row r="38" spans="1:8" x14ac:dyDescent="0.3">
      <c r="A38" s="594"/>
      <c r="B38" s="215" t="s">
        <v>62</v>
      </c>
      <c r="C38" s="218">
        <v>10.500816529016719</v>
      </c>
      <c r="D38" s="218">
        <v>40.633921203821934</v>
      </c>
      <c r="E38" s="218">
        <v>32.735916424493702</v>
      </c>
      <c r="F38" s="218">
        <v>16.129345842667519</v>
      </c>
      <c r="G38" s="218">
        <v>100</v>
      </c>
      <c r="H38" s="229"/>
    </row>
    <row r="39" spans="1:8" x14ac:dyDescent="0.3">
      <c r="A39" s="594"/>
      <c r="B39" s="215" t="s">
        <v>63</v>
      </c>
      <c r="C39" s="218">
        <v>7.3428183768452078</v>
      </c>
      <c r="D39" s="218">
        <v>51.887482648535396</v>
      </c>
      <c r="E39" s="218">
        <v>23.61301536946096</v>
      </c>
      <c r="F39" s="218">
        <v>17.156683605158708</v>
      </c>
      <c r="G39" s="218">
        <v>100</v>
      </c>
      <c r="H39" s="229"/>
    </row>
    <row r="40" spans="1:8" x14ac:dyDescent="0.3">
      <c r="A40" s="594"/>
      <c r="B40" s="215" t="s">
        <v>64</v>
      </c>
      <c r="C40" s="218">
        <v>7.3122888042087038</v>
      </c>
      <c r="D40" s="218">
        <v>42.18481987910944</v>
      </c>
      <c r="E40" s="218">
        <v>29.853093193811514</v>
      </c>
      <c r="F40" s="218">
        <v>20.649798122870461</v>
      </c>
      <c r="G40" s="218">
        <v>100</v>
      </c>
      <c r="H40" s="229"/>
    </row>
    <row r="41" spans="1:8" ht="15" thickBot="1" x14ac:dyDescent="0.35">
      <c r="A41" s="594"/>
      <c r="B41" s="224" t="s">
        <v>65</v>
      </c>
      <c r="C41" s="225">
        <v>6.7777894013219635</v>
      </c>
      <c r="D41" s="225">
        <v>44.723673914447815</v>
      </c>
      <c r="E41" s="225">
        <v>29.389274415423777</v>
      </c>
      <c r="F41" s="225">
        <v>19.109262268807321</v>
      </c>
      <c r="G41" s="225">
        <v>100</v>
      </c>
      <c r="H41" s="229"/>
    </row>
    <row r="42" spans="1:8" x14ac:dyDescent="0.3">
      <c r="A42" s="595" t="s">
        <v>219</v>
      </c>
      <c r="B42" s="215" t="s">
        <v>61</v>
      </c>
      <c r="C42" s="218">
        <v>10.340175432937066</v>
      </c>
      <c r="D42" s="218">
        <v>53.430195220029539</v>
      </c>
      <c r="E42" s="218">
        <v>20.398068134528252</v>
      </c>
      <c r="F42" s="218">
        <v>15.831561212505022</v>
      </c>
      <c r="G42" s="218">
        <v>100</v>
      </c>
      <c r="H42" s="229"/>
    </row>
    <row r="43" spans="1:8" x14ac:dyDescent="0.3">
      <c r="A43" s="594"/>
      <c r="B43" s="215" t="s">
        <v>62</v>
      </c>
      <c r="C43" s="218">
        <v>13.467864502573423</v>
      </c>
      <c r="D43" s="218">
        <v>40.871872601875062</v>
      </c>
      <c r="E43" s="218">
        <v>27.403263507145176</v>
      </c>
      <c r="F43" s="218">
        <v>18.256999388405227</v>
      </c>
      <c r="G43" s="218">
        <v>100</v>
      </c>
      <c r="H43" s="229"/>
    </row>
    <row r="44" spans="1:8" x14ac:dyDescent="0.3">
      <c r="A44" s="594"/>
      <c r="B44" s="215" t="s">
        <v>63</v>
      </c>
      <c r="C44" s="218">
        <v>10.047951920590686</v>
      </c>
      <c r="D44" s="218">
        <v>47.404269246427013</v>
      </c>
      <c r="E44" s="218">
        <v>24.678878063213965</v>
      </c>
      <c r="F44" s="218">
        <v>17.868900769768338</v>
      </c>
      <c r="G44" s="218">
        <v>100</v>
      </c>
      <c r="H44" s="229"/>
    </row>
    <row r="45" spans="1:8" x14ac:dyDescent="0.3">
      <c r="A45" s="594"/>
      <c r="B45" s="215" t="s">
        <v>64</v>
      </c>
      <c r="C45" s="218">
        <v>11.728782856223535</v>
      </c>
      <c r="D45" s="218">
        <v>37.57609176417683</v>
      </c>
      <c r="E45" s="218">
        <v>28.649826401024626</v>
      </c>
      <c r="F45" s="218">
        <v>22.045298978575062</v>
      </c>
      <c r="G45" s="218">
        <v>100</v>
      </c>
      <c r="H45" s="229"/>
    </row>
    <row r="46" spans="1:8" ht="15" thickBot="1" x14ac:dyDescent="0.35">
      <c r="A46" s="596"/>
      <c r="B46" s="216" t="s">
        <v>65</v>
      </c>
      <c r="C46" s="219">
        <v>8.8569602138959613</v>
      </c>
      <c r="D46" s="219">
        <v>42.666566877270277</v>
      </c>
      <c r="E46" s="219">
        <v>28.896042948257968</v>
      </c>
      <c r="F46" s="219">
        <v>19.580429960575035</v>
      </c>
      <c r="G46" s="219">
        <v>100</v>
      </c>
      <c r="H46" s="229"/>
    </row>
    <row r="47" spans="1:8" ht="15" thickTop="1" x14ac:dyDescent="0.3">
      <c r="A47" s="597" t="s">
        <v>223</v>
      </c>
      <c r="B47" s="597"/>
      <c r="C47" s="597"/>
      <c r="D47" s="597"/>
      <c r="E47" s="597"/>
      <c r="F47" s="597"/>
      <c r="G47" s="597"/>
      <c r="H47" s="229"/>
    </row>
  </sheetData>
  <mergeCells count="14">
    <mergeCell ref="A47:G47"/>
    <mergeCell ref="A2:B2"/>
    <mergeCell ref="A26:B26"/>
    <mergeCell ref="A25:G25"/>
    <mergeCell ref="A27:A31"/>
    <mergeCell ref="A32:A36"/>
    <mergeCell ref="A37:A41"/>
    <mergeCell ref="A18:A22"/>
    <mergeCell ref="A23:G23"/>
    <mergeCell ref="A1:G1"/>
    <mergeCell ref="A3:A7"/>
    <mergeCell ref="A8:A12"/>
    <mergeCell ref="A13:A17"/>
    <mergeCell ref="A42:A46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zoomScale="110" zoomScaleNormal="110" workbookViewId="0">
      <selection sqref="A1:E1"/>
    </sheetView>
  </sheetViews>
  <sheetFormatPr baseColWidth="10" defaultColWidth="9.109375" defaultRowHeight="14.4" x14ac:dyDescent="0.3"/>
  <cols>
    <col min="1" max="1" width="21.109375" customWidth="1"/>
    <col min="2" max="2" width="11.88671875" customWidth="1"/>
    <col min="3" max="3" width="11.109375" customWidth="1"/>
    <col min="4" max="4" width="11.6640625" customWidth="1"/>
    <col min="5" max="5" width="9.5546875" customWidth="1"/>
  </cols>
  <sheetData>
    <row r="1" spans="1:5" ht="68.099999999999994" customHeight="1" thickBot="1" x14ac:dyDescent="0.35">
      <c r="A1" s="604" t="s">
        <v>224</v>
      </c>
      <c r="B1" s="604"/>
      <c r="C1" s="604"/>
      <c r="D1" s="604"/>
      <c r="E1" s="604"/>
    </row>
    <row r="2" spans="1:5" ht="21.75" customHeight="1" thickTop="1" thickBot="1" x14ac:dyDescent="0.35">
      <c r="A2" s="603" t="s">
        <v>212</v>
      </c>
      <c r="B2" s="603"/>
      <c r="C2" s="231" t="s">
        <v>225</v>
      </c>
      <c r="D2" s="231" t="s">
        <v>226</v>
      </c>
      <c r="E2" s="231" t="s">
        <v>120</v>
      </c>
    </row>
    <row r="3" spans="1:5" ht="14.1" customHeight="1" thickTop="1" x14ac:dyDescent="0.3">
      <c r="A3" s="589" t="s">
        <v>217</v>
      </c>
      <c r="B3" s="214" t="s">
        <v>61</v>
      </c>
      <c r="C3" s="217">
        <v>4.0088681392619581</v>
      </c>
      <c r="D3" s="217">
        <v>8.7650414523764937</v>
      </c>
      <c r="E3" s="217">
        <v>5.6639020932687929</v>
      </c>
    </row>
    <row r="4" spans="1:5" ht="14.1" customHeight="1" x14ac:dyDescent="0.3">
      <c r="A4" s="590"/>
      <c r="B4" s="215" t="s">
        <v>62</v>
      </c>
      <c r="C4" s="218">
        <v>5.5694055927630686</v>
      </c>
      <c r="D4" s="218">
        <v>10.656094437801798</v>
      </c>
      <c r="E4" s="218">
        <v>7.2624365667372803</v>
      </c>
    </row>
    <row r="5" spans="1:5" ht="14.1" customHeight="1" x14ac:dyDescent="0.3">
      <c r="A5" s="590"/>
      <c r="B5" s="215" t="s">
        <v>63</v>
      </c>
      <c r="C5" s="218">
        <v>6.0670597141561515</v>
      </c>
      <c r="D5" s="218">
        <v>12.388092165027949</v>
      </c>
      <c r="E5" s="218">
        <v>8.1798432395376111</v>
      </c>
    </row>
    <row r="6" spans="1:5" ht="14.1" customHeight="1" x14ac:dyDescent="0.3">
      <c r="A6" s="590"/>
      <c r="B6" s="215" t="s">
        <v>64</v>
      </c>
      <c r="C6" s="218">
        <v>5.2240317425354661</v>
      </c>
      <c r="D6" s="218">
        <v>11.087796983232929</v>
      </c>
      <c r="E6" s="218">
        <v>7.0529277112487119</v>
      </c>
    </row>
    <row r="7" spans="1:5" ht="14.1" customHeight="1" x14ac:dyDescent="0.3">
      <c r="A7" s="590"/>
      <c r="B7" s="215" t="s">
        <v>65</v>
      </c>
      <c r="C7" s="218">
        <v>6.7052635212857457</v>
      </c>
      <c r="D7" s="218">
        <v>10.691592721046357</v>
      </c>
      <c r="E7" s="218">
        <v>7.9809125852288147</v>
      </c>
    </row>
    <row r="8" spans="1:5" ht="14.1" customHeight="1" x14ac:dyDescent="0.3">
      <c r="A8" s="591" t="s">
        <v>218</v>
      </c>
      <c r="B8" s="226" t="s">
        <v>61</v>
      </c>
      <c r="C8" s="227">
        <v>1.2035636774259704</v>
      </c>
      <c r="D8" s="227">
        <v>2.1304568267846902</v>
      </c>
      <c r="E8" s="227">
        <v>1.5261002068865537</v>
      </c>
    </row>
    <row r="9" spans="1:5" ht="14.1" customHeight="1" x14ac:dyDescent="0.3">
      <c r="A9" s="590"/>
      <c r="B9" s="215" t="s">
        <v>62</v>
      </c>
      <c r="C9" s="218">
        <v>0.80472881466122015</v>
      </c>
      <c r="D9" s="218">
        <v>2.6895977436620697</v>
      </c>
      <c r="E9" s="218">
        <v>1.4320802363610572</v>
      </c>
    </row>
    <row r="10" spans="1:5" ht="14.1" customHeight="1" x14ac:dyDescent="0.3">
      <c r="A10" s="590"/>
      <c r="B10" s="215" t="s">
        <v>63</v>
      </c>
      <c r="C10" s="218">
        <v>1.1025838205194118</v>
      </c>
      <c r="D10" s="218">
        <v>3.77639198849372</v>
      </c>
      <c r="E10" s="218">
        <v>1.9962950759564029</v>
      </c>
    </row>
    <row r="11" spans="1:5" ht="14.1" customHeight="1" x14ac:dyDescent="0.3">
      <c r="A11" s="590"/>
      <c r="B11" s="215" t="s">
        <v>64</v>
      </c>
      <c r="C11" s="218">
        <v>1.0835678546378313</v>
      </c>
      <c r="D11" s="218">
        <v>2.7209238607758008</v>
      </c>
      <c r="E11" s="218">
        <v>1.5942557277113416</v>
      </c>
    </row>
    <row r="12" spans="1:5" ht="14.1" customHeight="1" x14ac:dyDescent="0.3">
      <c r="A12" s="592"/>
      <c r="B12" s="222" t="s">
        <v>65</v>
      </c>
      <c r="C12" s="223">
        <v>0.60112374063221352</v>
      </c>
      <c r="D12" s="223">
        <v>1.5420238593360216</v>
      </c>
      <c r="E12" s="223">
        <v>0.90221737729435869</v>
      </c>
    </row>
    <row r="13" spans="1:5" ht="14.1" customHeight="1" x14ac:dyDescent="0.3">
      <c r="A13" s="593" t="s">
        <v>163</v>
      </c>
      <c r="B13" s="220" t="s">
        <v>61</v>
      </c>
      <c r="C13" s="221">
        <v>2.357113192469257</v>
      </c>
      <c r="D13" s="221">
        <v>7.5638402033319911</v>
      </c>
      <c r="E13" s="221">
        <v>4.1689290000348063</v>
      </c>
    </row>
    <row r="14" spans="1:5" ht="14.1" customHeight="1" x14ac:dyDescent="0.3">
      <c r="A14" s="594"/>
      <c r="B14" s="215" t="s">
        <v>62</v>
      </c>
      <c r="C14" s="218">
        <v>3.6611466327390283</v>
      </c>
      <c r="D14" s="218">
        <v>8.5323890756539189</v>
      </c>
      <c r="E14" s="218">
        <v>5.2824693809617385</v>
      </c>
    </row>
    <row r="15" spans="1:5" ht="14.1" customHeight="1" x14ac:dyDescent="0.3">
      <c r="A15" s="594"/>
      <c r="B15" s="215" t="s">
        <v>63</v>
      </c>
      <c r="C15" s="218">
        <v>3.7765131096747657</v>
      </c>
      <c r="D15" s="218">
        <v>10.13913097482707</v>
      </c>
      <c r="E15" s="218">
        <v>5.9031964178640015</v>
      </c>
    </row>
    <row r="16" spans="1:5" ht="14.1" customHeight="1" x14ac:dyDescent="0.3">
      <c r="A16" s="594"/>
      <c r="B16" s="215" t="s">
        <v>64</v>
      </c>
      <c r="C16" s="218">
        <v>3.6704288753114267</v>
      </c>
      <c r="D16" s="218">
        <v>10.243597178678622</v>
      </c>
      <c r="E16" s="218">
        <v>5.7205861579164168</v>
      </c>
    </row>
    <row r="17" spans="1:5" ht="14.1" customHeight="1" thickBot="1" x14ac:dyDescent="0.35">
      <c r="A17" s="594"/>
      <c r="B17" s="224" t="s">
        <v>65</v>
      </c>
      <c r="C17" s="225">
        <v>4.4444299599948272</v>
      </c>
      <c r="D17" s="225">
        <v>9.5119145429880732</v>
      </c>
      <c r="E17" s="225">
        <v>6.0660551798158995</v>
      </c>
    </row>
    <row r="18" spans="1:5" ht="14.1" customHeight="1" x14ac:dyDescent="0.3">
      <c r="A18" s="595" t="s">
        <v>219</v>
      </c>
      <c r="B18" s="215" t="s">
        <v>61</v>
      </c>
      <c r="C18" s="218">
        <v>5.4769070713207499</v>
      </c>
      <c r="D18" s="218">
        <v>13.198466936465051</v>
      </c>
      <c r="E18" s="218">
        <v>8.1638242447283194</v>
      </c>
    </row>
    <row r="19" spans="1:5" ht="14.1" customHeight="1" x14ac:dyDescent="0.3">
      <c r="A19" s="594"/>
      <c r="B19" s="215" t="s">
        <v>62</v>
      </c>
      <c r="C19" s="218">
        <v>8.445938563433403</v>
      </c>
      <c r="D19" s="218">
        <v>13.268170454118222</v>
      </c>
      <c r="E19" s="218">
        <v>10.050948856637735</v>
      </c>
    </row>
    <row r="20" spans="1:5" ht="14.1" customHeight="1" x14ac:dyDescent="0.3">
      <c r="A20" s="594"/>
      <c r="B20" s="215" t="s">
        <v>63</v>
      </c>
      <c r="C20" s="218">
        <v>9.1734697620345091</v>
      </c>
      <c r="D20" s="218">
        <v>16.101992157058589</v>
      </c>
      <c r="E20" s="218">
        <v>11.489304728112625</v>
      </c>
    </row>
    <row r="21" spans="1:5" ht="14.1" customHeight="1" x14ac:dyDescent="0.3">
      <c r="A21" s="594"/>
      <c r="B21" s="215" t="s">
        <v>64</v>
      </c>
      <c r="C21" s="218">
        <v>8.1328997526954758</v>
      </c>
      <c r="D21" s="218">
        <v>16.552666362018613</v>
      </c>
      <c r="E21" s="218">
        <v>10.759007138854402</v>
      </c>
    </row>
    <row r="22" spans="1:5" ht="14.1" customHeight="1" thickBot="1" x14ac:dyDescent="0.35">
      <c r="A22" s="596"/>
      <c r="B22" s="216" t="s">
        <v>65</v>
      </c>
      <c r="C22" s="219">
        <v>9.947351553727934</v>
      </c>
      <c r="D22" s="219">
        <v>17.985063435748213</v>
      </c>
      <c r="E22" s="219">
        <v>12.519467183104089</v>
      </c>
    </row>
    <row r="23" spans="1:5" ht="11.1" customHeight="1" thickTop="1" x14ac:dyDescent="0.3">
      <c r="A23" s="602" t="s">
        <v>220</v>
      </c>
      <c r="B23" s="602"/>
      <c r="C23" s="602"/>
      <c r="D23" s="602"/>
      <c r="E23" s="602"/>
    </row>
    <row r="25" spans="1:5" ht="68.099999999999994" customHeight="1" thickBot="1" x14ac:dyDescent="0.35">
      <c r="A25" s="604" t="s">
        <v>227</v>
      </c>
      <c r="B25" s="604"/>
      <c r="C25" s="604"/>
      <c r="D25" s="604"/>
      <c r="E25" s="604"/>
    </row>
    <row r="26" spans="1:5" ht="15.75" customHeight="1" thickTop="1" thickBot="1" x14ac:dyDescent="0.35">
      <c r="A26" s="603" t="s">
        <v>212</v>
      </c>
      <c r="B26" s="603"/>
      <c r="C26" s="231" t="s">
        <v>225</v>
      </c>
      <c r="D26" s="231" t="s">
        <v>226</v>
      </c>
      <c r="E26" s="231" t="s">
        <v>120</v>
      </c>
    </row>
    <row r="27" spans="1:5" ht="14.1" customHeight="1" thickTop="1" x14ac:dyDescent="0.3">
      <c r="A27" s="589" t="s">
        <v>217</v>
      </c>
      <c r="B27" s="214" t="s">
        <v>61</v>
      </c>
      <c r="C27" s="217">
        <v>46.149781092030103</v>
      </c>
      <c r="D27" s="217">
        <v>53.850218907969818</v>
      </c>
      <c r="E27" s="217">
        <v>100</v>
      </c>
    </row>
    <row r="28" spans="1:5" ht="14.1" customHeight="1" x14ac:dyDescent="0.3">
      <c r="A28" s="590"/>
      <c r="B28" s="215" t="s">
        <v>62</v>
      </c>
      <c r="C28" s="218">
        <v>51.163397868576041</v>
      </c>
      <c r="D28" s="218">
        <v>48.836602131423156</v>
      </c>
      <c r="E28" s="218">
        <v>100</v>
      </c>
    </row>
    <row r="29" spans="1:5" ht="14.1" customHeight="1" x14ac:dyDescent="0.3">
      <c r="A29" s="590"/>
      <c r="B29" s="215" t="s">
        <v>63</v>
      </c>
      <c r="C29" s="218">
        <v>49.379500205875622</v>
      </c>
      <c r="D29" s="218">
        <v>50.620499794123987</v>
      </c>
      <c r="E29" s="218">
        <v>100</v>
      </c>
    </row>
    <row r="30" spans="1:5" ht="14.1" customHeight="1" x14ac:dyDescent="0.3">
      <c r="A30" s="590"/>
      <c r="B30" s="215" t="s">
        <v>64</v>
      </c>
      <c r="C30" s="218">
        <v>50.967023130792001</v>
      </c>
      <c r="D30" s="218">
        <v>49.0329768692079</v>
      </c>
      <c r="E30" s="218">
        <v>100</v>
      </c>
    </row>
    <row r="31" spans="1:5" ht="14.1" customHeight="1" x14ac:dyDescent="0.3">
      <c r="A31" s="590"/>
      <c r="B31" s="215" t="s">
        <v>65</v>
      </c>
      <c r="C31" s="218">
        <v>57.130550512556944</v>
      </c>
      <c r="D31" s="218">
        <v>42.869449487442246</v>
      </c>
      <c r="E31" s="218">
        <v>100</v>
      </c>
    </row>
    <row r="32" spans="1:5" ht="14.1" customHeight="1" x14ac:dyDescent="0.3">
      <c r="A32" s="591" t="s">
        <v>218</v>
      </c>
      <c r="B32" s="226" t="s">
        <v>61</v>
      </c>
      <c r="C32" s="227">
        <v>51.42207916699779</v>
      </c>
      <c r="D32" s="227">
        <v>48.577920833002217</v>
      </c>
      <c r="E32" s="227">
        <v>100</v>
      </c>
    </row>
    <row r="33" spans="1:5" ht="14.1" customHeight="1" x14ac:dyDescent="0.3">
      <c r="A33" s="590"/>
      <c r="B33" s="215" t="s">
        <v>62</v>
      </c>
      <c r="C33" s="218">
        <v>37.48996937753229</v>
      </c>
      <c r="D33" s="218">
        <v>62.510030622467696</v>
      </c>
      <c r="E33" s="218">
        <v>100</v>
      </c>
    </row>
    <row r="34" spans="1:5" ht="14.1" customHeight="1" x14ac:dyDescent="0.3">
      <c r="A34" s="590"/>
      <c r="B34" s="215" t="s">
        <v>63</v>
      </c>
      <c r="C34" s="218">
        <v>36.77056313259768</v>
      </c>
      <c r="D34" s="218">
        <v>63.229436867402114</v>
      </c>
      <c r="E34" s="218">
        <v>100</v>
      </c>
    </row>
    <row r="35" spans="1:5" ht="14.1" customHeight="1" x14ac:dyDescent="0.3">
      <c r="A35" s="590"/>
      <c r="B35" s="215" t="s">
        <v>64</v>
      </c>
      <c r="C35" s="218">
        <v>46.768239313175378</v>
      </c>
      <c r="D35" s="218">
        <v>53.231760686824551</v>
      </c>
      <c r="E35" s="218">
        <v>100</v>
      </c>
    </row>
    <row r="36" spans="1:5" ht="14.1" customHeight="1" x14ac:dyDescent="0.3">
      <c r="A36" s="592"/>
      <c r="B36" s="222" t="s">
        <v>65</v>
      </c>
      <c r="C36" s="223">
        <v>45.306217439997504</v>
      </c>
      <c r="D36" s="223">
        <v>54.693782560002461</v>
      </c>
      <c r="E36" s="223">
        <v>100</v>
      </c>
    </row>
    <row r="37" spans="1:5" ht="14.1" customHeight="1" x14ac:dyDescent="0.3">
      <c r="A37" s="593" t="s">
        <v>163</v>
      </c>
      <c r="B37" s="220" t="s">
        <v>61</v>
      </c>
      <c r="C37" s="221">
        <v>36.865450974649256</v>
      </c>
      <c r="D37" s="221">
        <v>63.134549025350964</v>
      </c>
      <c r="E37" s="221">
        <v>100</v>
      </c>
    </row>
    <row r="38" spans="1:5" ht="14.1" customHeight="1" x14ac:dyDescent="0.3">
      <c r="A38" s="594"/>
      <c r="B38" s="215" t="s">
        <v>62</v>
      </c>
      <c r="C38" s="218">
        <v>46.23948830345546</v>
      </c>
      <c r="D38" s="218">
        <v>53.760511696544491</v>
      </c>
      <c r="E38" s="218">
        <v>100</v>
      </c>
    </row>
    <row r="39" spans="1:5" ht="14.1" customHeight="1" x14ac:dyDescent="0.3">
      <c r="A39" s="594"/>
      <c r="B39" s="215" t="s">
        <v>63</v>
      </c>
      <c r="C39" s="218">
        <v>42.590934006295129</v>
      </c>
      <c r="D39" s="218">
        <v>57.409065993705269</v>
      </c>
      <c r="E39" s="218">
        <v>100</v>
      </c>
    </row>
    <row r="40" spans="1:5" ht="14.1" customHeight="1" x14ac:dyDescent="0.3">
      <c r="A40" s="594"/>
      <c r="B40" s="215" t="s">
        <v>64</v>
      </c>
      <c r="C40" s="218">
        <v>44.149844217788953</v>
      </c>
      <c r="D40" s="218">
        <v>55.85015578221104</v>
      </c>
      <c r="E40" s="218">
        <v>100</v>
      </c>
    </row>
    <row r="41" spans="1:5" ht="14.1" customHeight="1" thickBot="1" x14ac:dyDescent="0.35">
      <c r="A41" s="594"/>
      <c r="B41" s="224" t="s">
        <v>65</v>
      </c>
      <c r="C41" s="225">
        <v>49.821273254764762</v>
      </c>
      <c r="D41" s="225">
        <v>50.178726745236133</v>
      </c>
      <c r="E41" s="225">
        <v>100</v>
      </c>
    </row>
    <row r="42" spans="1:5" ht="14.1" customHeight="1" x14ac:dyDescent="0.3">
      <c r="A42" s="595" t="s">
        <v>219</v>
      </c>
      <c r="B42" s="215" t="s">
        <v>61</v>
      </c>
      <c r="C42" s="218">
        <v>43.742674902853587</v>
      </c>
      <c r="D42" s="218">
        <v>56.257325097146271</v>
      </c>
      <c r="E42" s="218">
        <v>100</v>
      </c>
    </row>
    <row r="43" spans="1:5" ht="14.1" customHeight="1" x14ac:dyDescent="0.3">
      <c r="A43" s="594"/>
      <c r="B43" s="215" t="s">
        <v>62</v>
      </c>
      <c r="C43" s="218">
        <v>56.06266512522793</v>
      </c>
      <c r="D43" s="218">
        <v>43.937334874771025</v>
      </c>
      <c r="E43" s="218">
        <v>100</v>
      </c>
    </row>
    <row r="44" spans="1:5" ht="14.1" customHeight="1" x14ac:dyDescent="0.3">
      <c r="A44" s="594"/>
      <c r="B44" s="215" t="s">
        <v>63</v>
      </c>
      <c r="C44" s="218">
        <v>53.156121664666578</v>
      </c>
      <c r="D44" s="218">
        <v>46.84387833533323</v>
      </c>
      <c r="E44" s="218">
        <v>100</v>
      </c>
    </row>
    <row r="45" spans="1:5" ht="14.1" customHeight="1" x14ac:dyDescent="0.3">
      <c r="A45" s="594"/>
      <c r="B45" s="215" t="s">
        <v>64</v>
      </c>
      <c r="C45" s="218">
        <v>52.014702284137115</v>
      </c>
      <c r="D45" s="218">
        <v>47.985297715862998</v>
      </c>
      <c r="E45" s="218">
        <v>100</v>
      </c>
    </row>
    <row r="46" spans="1:5" ht="14.1" customHeight="1" thickBot="1" x14ac:dyDescent="0.35">
      <c r="A46" s="596"/>
      <c r="B46" s="216" t="s">
        <v>65</v>
      </c>
      <c r="C46" s="219">
        <v>54.028975574342589</v>
      </c>
      <c r="D46" s="219">
        <v>45.971024425656346</v>
      </c>
      <c r="E46" s="219">
        <v>100</v>
      </c>
    </row>
    <row r="47" spans="1:5" ht="11.1" customHeight="1" thickTop="1" x14ac:dyDescent="0.3">
      <c r="A47" s="602" t="s">
        <v>220</v>
      </c>
      <c r="B47" s="602"/>
      <c r="C47" s="602"/>
      <c r="D47" s="602"/>
      <c r="E47" s="602"/>
    </row>
  </sheetData>
  <mergeCells count="14">
    <mergeCell ref="A1:E1"/>
    <mergeCell ref="A3:A7"/>
    <mergeCell ref="A8:A12"/>
    <mergeCell ref="A13:A17"/>
    <mergeCell ref="A32:A36"/>
    <mergeCell ref="A37:A41"/>
    <mergeCell ref="A42:A46"/>
    <mergeCell ref="A47:E47"/>
    <mergeCell ref="A2:B2"/>
    <mergeCell ref="A26:B26"/>
    <mergeCell ref="A18:A22"/>
    <mergeCell ref="A23:E23"/>
    <mergeCell ref="A25:E25"/>
    <mergeCell ref="A27:A3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zoomScale="110" zoomScaleNormal="110" workbookViewId="0">
      <selection sqref="A1:E1"/>
    </sheetView>
  </sheetViews>
  <sheetFormatPr baseColWidth="10" defaultColWidth="9.109375" defaultRowHeight="14.4" x14ac:dyDescent="0.3"/>
  <cols>
    <col min="1" max="1" width="21.109375" customWidth="1"/>
    <col min="2" max="2" width="11.88671875" customWidth="1"/>
    <col min="3" max="5" width="12.5546875" customWidth="1"/>
  </cols>
  <sheetData>
    <row r="1" spans="1:5" ht="68.099999999999994" customHeight="1" thickBot="1" x14ac:dyDescent="0.35">
      <c r="A1" s="605" t="s">
        <v>228</v>
      </c>
      <c r="B1" s="605"/>
      <c r="C1" s="605"/>
      <c r="D1" s="605"/>
      <c r="E1" s="605"/>
    </row>
    <row r="2" spans="1:5" ht="16.5" customHeight="1" thickTop="1" thickBot="1" x14ac:dyDescent="0.35">
      <c r="A2" s="608" t="s">
        <v>212</v>
      </c>
      <c r="B2" s="608"/>
      <c r="C2" s="232" t="s">
        <v>229</v>
      </c>
      <c r="D2" s="232" t="s">
        <v>230</v>
      </c>
      <c r="E2" s="232" t="s">
        <v>120</v>
      </c>
    </row>
    <row r="3" spans="1:5" ht="14.1" customHeight="1" thickTop="1" x14ac:dyDescent="0.3">
      <c r="A3" s="589" t="s">
        <v>217</v>
      </c>
      <c r="B3" s="214" t="s">
        <v>61</v>
      </c>
      <c r="C3" s="217">
        <v>9.2574601777639156</v>
      </c>
      <c r="D3" s="217">
        <v>5.0937353927753426</v>
      </c>
      <c r="E3" s="217">
        <v>5.6639020932687929</v>
      </c>
    </row>
    <row r="4" spans="1:5" ht="14.1" customHeight="1" x14ac:dyDescent="0.3">
      <c r="A4" s="590"/>
      <c r="B4" s="215" t="s">
        <v>62</v>
      </c>
      <c r="C4" s="218">
        <v>11.805970562879473</v>
      </c>
      <c r="D4" s="218">
        <v>6.570836214544423</v>
      </c>
      <c r="E4" s="218">
        <v>7.2624365667372803</v>
      </c>
    </row>
    <row r="5" spans="1:5" ht="14.1" customHeight="1" x14ac:dyDescent="0.3">
      <c r="A5" s="590"/>
      <c r="B5" s="215" t="s">
        <v>63</v>
      </c>
      <c r="C5" s="218">
        <v>13.743112113765818</v>
      </c>
      <c r="D5" s="218">
        <v>7.3109531217756496</v>
      </c>
      <c r="E5" s="218">
        <v>8.1798432395376111</v>
      </c>
    </row>
    <row r="6" spans="1:5" ht="14.1" customHeight="1" x14ac:dyDescent="0.3">
      <c r="A6" s="590"/>
      <c r="B6" s="215" t="s">
        <v>64</v>
      </c>
      <c r="C6" s="218">
        <v>12.004188489550758</v>
      </c>
      <c r="D6" s="218">
        <v>6.3514603833476695</v>
      </c>
      <c r="E6" s="218">
        <v>7.0529277112487119</v>
      </c>
    </row>
    <row r="7" spans="1:5" ht="14.1" customHeight="1" x14ac:dyDescent="0.3">
      <c r="A7" s="590"/>
      <c r="B7" s="215" t="s">
        <v>65</v>
      </c>
      <c r="C7" s="218">
        <v>11.513525562972832</v>
      </c>
      <c r="D7" s="218">
        <v>7.4426099760463602</v>
      </c>
      <c r="E7" s="218">
        <v>7.9809125852288147</v>
      </c>
    </row>
    <row r="8" spans="1:5" ht="14.1" customHeight="1" x14ac:dyDescent="0.3">
      <c r="A8" s="591" t="s">
        <v>218</v>
      </c>
      <c r="B8" s="226" t="s">
        <v>61</v>
      </c>
      <c r="C8" s="227">
        <v>1.8005947087326692</v>
      </c>
      <c r="D8" s="227">
        <v>1.4825479334179632</v>
      </c>
      <c r="E8" s="227">
        <v>1.5261002068865537</v>
      </c>
    </row>
    <row r="9" spans="1:5" ht="14.1" customHeight="1" x14ac:dyDescent="0.3">
      <c r="A9" s="590"/>
      <c r="B9" s="215" t="s">
        <v>62</v>
      </c>
      <c r="C9" s="218">
        <v>2.5503741256734513</v>
      </c>
      <c r="D9" s="218">
        <v>1.2618575752430541</v>
      </c>
      <c r="E9" s="218">
        <v>1.4320802363610572</v>
      </c>
    </row>
    <row r="10" spans="1:5" ht="14.1" customHeight="1" x14ac:dyDescent="0.3">
      <c r="A10" s="590"/>
      <c r="B10" s="215" t="s">
        <v>63</v>
      </c>
      <c r="C10" s="218">
        <v>4.1021841916131132</v>
      </c>
      <c r="D10" s="218">
        <v>1.6673902031085228</v>
      </c>
      <c r="E10" s="218">
        <v>1.9962950759564029</v>
      </c>
    </row>
    <row r="11" spans="1:5" ht="14.1" customHeight="1" x14ac:dyDescent="0.3">
      <c r="A11" s="590"/>
      <c r="B11" s="215" t="s">
        <v>64</v>
      </c>
      <c r="C11" s="218">
        <v>2.6114815893120729</v>
      </c>
      <c r="D11" s="218">
        <v>1.4501407761951695</v>
      </c>
      <c r="E11" s="218">
        <v>1.5942557277113416</v>
      </c>
    </row>
    <row r="12" spans="1:5" ht="14.1" customHeight="1" x14ac:dyDescent="0.3">
      <c r="A12" s="592"/>
      <c r="B12" s="222" t="s">
        <v>65</v>
      </c>
      <c r="C12" s="223">
        <v>1.6029683624413131</v>
      </c>
      <c r="D12" s="223">
        <v>0.79543633842363981</v>
      </c>
      <c r="E12" s="223">
        <v>0.90221737729435869</v>
      </c>
    </row>
    <row r="13" spans="1:5" ht="14.1" customHeight="1" x14ac:dyDescent="0.3">
      <c r="A13" s="593" t="s">
        <v>163</v>
      </c>
      <c r="B13" s="220" t="s">
        <v>61</v>
      </c>
      <c r="C13" s="221">
        <v>7.2986325591096177</v>
      </c>
      <c r="D13" s="221">
        <v>3.6723591075097608</v>
      </c>
      <c r="E13" s="221">
        <v>4.1689290000348063</v>
      </c>
    </row>
    <row r="14" spans="1:5" ht="14.1" customHeight="1" x14ac:dyDescent="0.3">
      <c r="A14" s="594"/>
      <c r="B14" s="215" t="s">
        <v>62</v>
      </c>
      <c r="C14" s="218">
        <v>9.5041071485258541</v>
      </c>
      <c r="D14" s="218">
        <v>4.6398669113078252</v>
      </c>
      <c r="E14" s="218">
        <v>5.2824693809617385</v>
      </c>
    </row>
    <row r="15" spans="1:5" ht="14.1" customHeight="1" x14ac:dyDescent="0.3">
      <c r="A15" s="594"/>
      <c r="B15" s="215" t="s">
        <v>63</v>
      </c>
      <c r="C15" s="218">
        <v>11.244184756230959</v>
      </c>
      <c r="D15" s="218">
        <v>5.0690228247473774</v>
      </c>
      <c r="E15" s="218">
        <v>5.9031964178640015</v>
      </c>
    </row>
    <row r="16" spans="1:5" ht="14.1" customHeight="1" x14ac:dyDescent="0.3">
      <c r="A16" s="594"/>
      <c r="B16" s="215" t="s">
        <v>64</v>
      </c>
      <c r="C16" s="218">
        <v>10.641900599918126</v>
      </c>
      <c r="D16" s="218">
        <v>5.0233614618309028</v>
      </c>
      <c r="E16" s="218">
        <v>5.7205861579164168</v>
      </c>
    </row>
    <row r="17" spans="1:5" ht="14.1" customHeight="1" thickBot="1" x14ac:dyDescent="0.35">
      <c r="A17" s="594"/>
      <c r="B17" s="224" t="s">
        <v>65</v>
      </c>
      <c r="C17" s="225">
        <v>10.279903367989609</v>
      </c>
      <c r="D17" s="225">
        <v>5.4239453623287286</v>
      </c>
      <c r="E17" s="225">
        <v>6.0660551798158995</v>
      </c>
    </row>
    <row r="18" spans="1:5" ht="14.1" customHeight="1" x14ac:dyDescent="0.3">
      <c r="A18" s="595" t="s">
        <v>219</v>
      </c>
      <c r="B18" s="215" t="s">
        <v>61</v>
      </c>
      <c r="C18" s="218">
        <v>12.948055775955345</v>
      </c>
      <c r="D18" s="218">
        <v>7.4047410624289007</v>
      </c>
      <c r="E18" s="218">
        <v>8.1638242447283194</v>
      </c>
    </row>
    <row r="19" spans="1:5" ht="14.1" customHeight="1" x14ac:dyDescent="0.3">
      <c r="A19" s="594"/>
      <c r="B19" s="215" t="s">
        <v>62</v>
      </c>
      <c r="C19" s="218">
        <v>14.120972371884227</v>
      </c>
      <c r="D19" s="218">
        <v>9.4314245614597656</v>
      </c>
      <c r="E19" s="218">
        <v>10.050948856637735</v>
      </c>
    </row>
    <row r="20" spans="1:5" ht="14.1" customHeight="1" x14ac:dyDescent="0.3">
      <c r="A20" s="594"/>
      <c r="B20" s="215" t="s">
        <v>63</v>
      </c>
      <c r="C20" s="218">
        <v>17.12613687042904</v>
      </c>
      <c r="D20" s="218">
        <v>10.608925250746266</v>
      </c>
      <c r="E20" s="218">
        <v>11.489304728112625</v>
      </c>
    </row>
    <row r="21" spans="1:5" ht="14.1" customHeight="1" x14ac:dyDescent="0.3">
      <c r="A21" s="594"/>
      <c r="B21" s="215" t="s">
        <v>64</v>
      </c>
      <c r="C21" s="218">
        <v>16.902426861464541</v>
      </c>
      <c r="D21" s="218">
        <v>9.8886413047866171</v>
      </c>
      <c r="E21" s="218">
        <v>10.759007138854402</v>
      </c>
    </row>
    <row r="22" spans="1:5" ht="14.1" customHeight="1" thickBot="1" x14ac:dyDescent="0.35">
      <c r="A22" s="596"/>
      <c r="B22" s="216" t="s">
        <v>65</v>
      </c>
      <c r="C22" s="219">
        <v>19.289728878778185</v>
      </c>
      <c r="D22" s="219">
        <v>11.48780887278566</v>
      </c>
      <c r="E22" s="219">
        <v>12.519467183104089</v>
      </c>
    </row>
    <row r="23" spans="1:5" ht="15" thickTop="1" x14ac:dyDescent="0.3">
      <c r="A23" s="606" t="s">
        <v>233</v>
      </c>
      <c r="B23" s="607"/>
      <c r="C23" s="607"/>
      <c r="D23" s="607"/>
      <c r="E23" s="607"/>
    </row>
    <row r="25" spans="1:5" ht="68.099999999999994" customHeight="1" thickBot="1" x14ac:dyDescent="0.35">
      <c r="A25" s="609" t="s">
        <v>245</v>
      </c>
      <c r="B25" s="605"/>
      <c r="C25" s="605"/>
      <c r="D25" s="605"/>
      <c r="E25" s="605"/>
    </row>
    <row r="26" spans="1:5" ht="16.5" customHeight="1" thickTop="1" thickBot="1" x14ac:dyDescent="0.35">
      <c r="A26" s="608" t="s">
        <v>212</v>
      </c>
      <c r="B26" s="608"/>
      <c r="C26" s="232" t="s">
        <v>229</v>
      </c>
      <c r="D26" s="232" t="s">
        <v>230</v>
      </c>
      <c r="E26" s="232" t="s">
        <v>120</v>
      </c>
    </row>
    <row r="27" spans="1:5" ht="14.1" customHeight="1" thickTop="1" x14ac:dyDescent="0.3">
      <c r="A27" s="589" t="s">
        <v>217</v>
      </c>
      <c r="B27" s="214" t="s">
        <v>61</v>
      </c>
      <c r="C27" s="217">
        <v>22.381848356878489</v>
      </c>
      <c r="D27" s="217">
        <v>77.618151643121422</v>
      </c>
      <c r="E27" s="217">
        <v>100</v>
      </c>
    </row>
    <row r="28" spans="1:5" ht="14.1" customHeight="1" x14ac:dyDescent="0.3">
      <c r="A28" s="590"/>
      <c r="B28" s="215" t="s">
        <v>62</v>
      </c>
      <c r="C28" s="218">
        <v>21.47566982299767</v>
      </c>
      <c r="D28" s="218">
        <v>78.524330177001588</v>
      </c>
      <c r="E28" s="218">
        <v>100</v>
      </c>
    </row>
    <row r="29" spans="1:5" ht="14.1" customHeight="1" x14ac:dyDescent="0.3">
      <c r="A29" s="590"/>
      <c r="B29" s="215" t="s">
        <v>63</v>
      </c>
      <c r="C29" s="218">
        <v>22.695941090137119</v>
      </c>
      <c r="D29" s="218">
        <v>77.304058909862562</v>
      </c>
      <c r="E29" s="218">
        <v>100</v>
      </c>
    </row>
    <row r="30" spans="1:5" ht="14.1" customHeight="1" x14ac:dyDescent="0.3">
      <c r="A30" s="590"/>
      <c r="B30" s="215" t="s">
        <v>64</v>
      </c>
      <c r="C30" s="218">
        <v>21.120914802928141</v>
      </c>
      <c r="D30" s="218">
        <v>78.879085197071959</v>
      </c>
      <c r="E30" s="218">
        <v>100</v>
      </c>
    </row>
    <row r="31" spans="1:5" ht="14.1" customHeight="1" x14ac:dyDescent="0.3">
      <c r="A31" s="590"/>
      <c r="B31" s="215" t="s">
        <v>65</v>
      </c>
      <c r="C31" s="218">
        <v>19.076125164063882</v>
      </c>
      <c r="D31" s="218">
        <v>80.923874835934697</v>
      </c>
      <c r="E31" s="218">
        <v>100</v>
      </c>
    </row>
    <row r="32" spans="1:5" ht="14.1" customHeight="1" x14ac:dyDescent="0.3">
      <c r="A32" s="591" t="s">
        <v>218</v>
      </c>
      <c r="B32" s="226" t="s">
        <v>61</v>
      </c>
      <c r="C32" s="227">
        <v>16.156703394413235</v>
      </c>
      <c r="D32" s="227">
        <v>83.843296605586787</v>
      </c>
      <c r="E32" s="227">
        <v>100</v>
      </c>
    </row>
    <row r="33" spans="1:5" ht="14.1" customHeight="1" x14ac:dyDescent="0.3">
      <c r="A33" s="590"/>
      <c r="B33" s="215" t="s">
        <v>62</v>
      </c>
      <c r="C33" s="218">
        <v>23.526857219668106</v>
      </c>
      <c r="D33" s="218">
        <v>76.473142780331898</v>
      </c>
      <c r="E33" s="218">
        <v>100</v>
      </c>
    </row>
    <row r="34" spans="1:5" ht="14.1" customHeight="1" x14ac:dyDescent="0.3">
      <c r="A34" s="590"/>
      <c r="B34" s="215" t="s">
        <v>63</v>
      </c>
      <c r="C34" s="218">
        <v>27.75866067648823</v>
      </c>
      <c r="D34" s="218">
        <v>72.241339323511539</v>
      </c>
      <c r="E34" s="218">
        <v>100</v>
      </c>
    </row>
    <row r="35" spans="1:5" ht="14.1" customHeight="1" x14ac:dyDescent="0.3">
      <c r="A35" s="590"/>
      <c r="B35" s="215" t="s">
        <v>64</v>
      </c>
      <c r="C35" s="218">
        <v>20.327236202405757</v>
      </c>
      <c r="D35" s="218">
        <v>79.672763797594186</v>
      </c>
      <c r="E35" s="218">
        <v>100</v>
      </c>
    </row>
    <row r="36" spans="1:5" ht="14.1" customHeight="1" x14ac:dyDescent="0.3">
      <c r="A36" s="592"/>
      <c r="B36" s="222" t="s">
        <v>65</v>
      </c>
      <c r="C36" s="223">
        <v>23.493523224312366</v>
      </c>
      <c r="D36" s="223">
        <v>76.506476775687645</v>
      </c>
      <c r="E36" s="223">
        <v>100</v>
      </c>
    </row>
    <row r="37" spans="1:5" ht="14.1" customHeight="1" x14ac:dyDescent="0.3">
      <c r="A37" s="593" t="s">
        <v>163</v>
      </c>
      <c r="B37" s="220" t="s">
        <v>61</v>
      </c>
      <c r="C37" s="221">
        <v>23.97379764283054</v>
      </c>
      <c r="D37" s="221">
        <v>76.026202357169652</v>
      </c>
      <c r="E37" s="221">
        <v>100</v>
      </c>
    </row>
    <row r="38" spans="1:5" ht="14.1" customHeight="1" x14ac:dyDescent="0.3">
      <c r="A38" s="594"/>
      <c r="B38" s="215" t="s">
        <v>62</v>
      </c>
      <c r="C38" s="218">
        <v>23.768496443790177</v>
      </c>
      <c r="D38" s="218">
        <v>76.231503556209901</v>
      </c>
      <c r="E38" s="218">
        <v>100</v>
      </c>
    </row>
    <row r="39" spans="1:5" ht="14.1" customHeight="1" x14ac:dyDescent="0.3">
      <c r="A39" s="594"/>
      <c r="B39" s="215" t="s">
        <v>63</v>
      </c>
      <c r="C39" s="218">
        <v>25.730535581775833</v>
      </c>
      <c r="D39" s="218">
        <v>74.269464418224231</v>
      </c>
      <c r="E39" s="218">
        <v>100</v>
      </c>
    </row>
    <row r="40" spans="1:5" ht="14.1" customHeight="1" x14ac:dyDescent="0.3">
      <c r="A40" s="594"/>
      <c r="B40" s="215" t="s">
        <v>64</v>
      </c>
      <c r="C40" s="218">
        <v>23.084901105763429</v>
      </c>
      <c r="D40" s="218">
        <v>76.915098894236621</v>
      </c>
      <c r="E40" s="218">
        <v>100</v>
      </c>
    </row>
    <row r="41" spans="1:5" ht="14.1" customHeight="1" thickBot="1" x14ac:dyDescent="0.35">
      <c r="A41" s="594"/>
      <c r="B41" s="224" t="s">
        <v>65</v>
      </c>
      <c r="C41" s="225">
        <v>22.408720692695503</v>
      </c>
      <c r="D41" s="225">
        <v>77.591279307304802</v>
      </c>
      <c r="E41" s="225">
        <v>100</v>
      </c>
    </row>
    <row r="42" spans="1:5" ht="14.1" customHeight="1" x14ac:dyDescent="0.3">
      <c r="A42" s="595" t="s">
        <v>219</v>
      </c>
      <c r="B42" s="215" t="s">
        <v>61</v>
      </c>
      <c r="C42" s="218">
        <v>21.718546100199966</v>
      </c>
      <c r="D42" s="218">
        <v>78.281453899799899</v>
      </c>
      <c r="E42" s="218">
        <v>100</v>
      </c>
    </row>
    <row r="43" spans="1:5" ht="14.1" customHeight="1" x14ac:dyDescent="0.3">
      <c r="A43" s="594"/>
      <c r="B43" s="215" t="s">
        <v>62</v>
      </c>
      <c r="C43" s="218">
        <v>18.5602967050926</v>
      </c>
      <c r="D43" s="218">
        <v>81.439703294906991</v>
      </c>
      <c r="E43" s="218">
        <v>100</v>
      </c>
    </row>
    <row r="44" spans="1:5" ht="14.1" customHeight="1" x14ac:dyDescent="0.3">
      <c r="A44" s="594"/>
      <c r="B44" s="215" t="s">
        <v>63</v>
      </c>
      <c r="C44" s="218">
        <v>20.136025346340737</v>
      </c>
      <c r="D44" s="218">
        <v>79.86397465365927</v>
      </c>
      <c r="E44" s="218">
        <v>100</v>
      </c>
    </row>
    <row r="45" spans="1:5" ht="14.1" customHeight="1" x14ac:dyDescent="0.3">
      <c r="A45" s="594"/>
      <c r="B45" s="215" t="s">
        <v>64</v>
      </c>
      <c r="C45" s="218">
        <v>19.495133831294634</v>
      </c>
      <c r="D45" s="218">
        <v>80.504866168705419</v>
      </c>
      <c r="E45" s="218">
        <v>100</v>
      </c>
    </row>
    <row r="46" spans="1:5" ht="14.1" customHeight="1" thickBot="1" x14ac:dyDescent="0.35">
      <c r="A46" s="596"/>
      <c r="B46" s="216" t="s">
        <v>65</v>
      </c>
      <c r="C46" s="219">
        <v>20.373923224445296</v>
      </c>
      <c r="D46" s="219">
        <v>79.62607677555485</v>
      </c>
      <c r="E46" s="219">
        <v>100</v>
      </c>
    </row>
    <row r="47" spans="1:5" ht="15" thickTop="1" x14ac:dyDescent="0.3">
      <c r="A47" s="606" t="s">
        <v>381</v>
      </c>
      <c r="B47" s="607"/>
      <c r="C47" s="607"/>
      <c r="D47" s="607"/>
      <c r="E47" s="607"/>
    </row>
  </sheetData>
  <mergeCells count="14">
    <mergeCell ref="A37:A41"/>
    <mergeCell ref="A42:A46"/>
    <mergeCell ref="A47:E47"/>
    <mergeCell ref="A2:B2"/>
    <mergeCell ref="A26:B26"/>
    <mergeCell ref="A18:A22"/>
    <mergeCell ref="A23:E23"/>
    <mergeCell ref="A25:E25"/>
    <mergeCell ref="A27:A31"/>
    <mergeCell ref="A1:E1"/>
    <mergeCell ref="A3:A7"/>
    <mergeCell ref="A8:A12"/>
    <mergeCell ref="A13:A17"/>
    <mergeCell ref="A32:A3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zoomScale="110" zoomScaleNormal="110" workbookViewId="0">
      <selection activeCell="E6" sqref="E6"/>
    </sheetView>
  </sheetViews>
  <sheetFormatPr baseColWidth="10" defaultColWidth="9.109375" defaultRowHeight="14.4" x14ac:dyDescent="0.3"/>
  <cols>
    <col min="1" max="1" width="21.109375" customWidth="1"/>
    <col min="2" max="2" width="11.88671875" customWidth="1"/>
    <col min="3" max="5" width="9.5546875" customWidth="1"/>
  </cols>
  <sheetData>
    <row r="1" spans="1:5" ht="68.099999999999994" customHeight="1" thickBot="1" x14ac:dyDescent="0.35">
      <c r="A1" s="613" t="s">
        <v>246</v>
      </c>
      <c r="B1" s="613"/>
      <c r="C1" s="613"/>
      <c r="D1" s="613"/>
      <c r="E1" s="613"/>
    </row>
    <row r="2" spans="1:5" ht="17.25" customHeight="1" thickTop="1" thickBot="1" x14ac:dyDescent="0.35">
      <c r="A2" s="611" t="s">
        <v>212</v>
      </c>
      <c r="B2" s="611"/>
      <c r="C2" s="233" t="s">
        <v>231</v>
      </c>
      <c r="D2" s="233" t="s">
        <v>232</v>
      </c>
      <c r="E2" s="233" t="s">
        <v>120</v>
      </c>
    </row>
    <row r="3" spans="1:5" ht="14.1" customHeight="1" thickTop="1" x14ac:dyDescent="0.3">
      <c r="A3" s="589" t="s">
        <v>217</v>
      </c>
      <c r="B3" s="214" t="s">
        <v>61</v>
      </c>
      <c r="C3" s="217">
        <v>4.804843216894513</v>
      </c>
      <c r="D3" s="217">
        <v>10.156246929280593</v>
      </c>
      <c r="E3" s="217">
        <v>5.6639020932687929</v>
      </c>
    </row>
    <row r="4" spans="1:5" ht="14.1" customHeight="1" x14ac:dyDescent="0.3">
      <c r="A4" s="590"/>
      <c r="B4" s="215" t="s">
        <v>62</v>
      </c>
      <c r="C4" s="218">
        <v>5.8474084814108673</v>
      </c>
      <c r="D4" s="218">
        <v>12.635495569498827</v>
      </c>
      <c r="E4" s="218">
        <v>7.2624365667372803</v>
      </c>
    </row>
    <row r="5" spans="1:5" ht="14.1" customHeight="1" x14ac:dyDescent="0.3">
      <c r="A5" s="590"/>
      <c r="B5" s="215" t="s">
        <v>63</v>
      </c>
      <c r="C5" s="218">
        <v>6.7064209073780772</v>
      </c>
      <c r="D5" s="218">
        <v>13.130240942551941</v>
      </c>
      <c r="E5" s="218">
        <v>8.1798432395376111</v>
      </c>
    </row>
    <row r="6" spans="1:5" ht="14.1" customHeight="1" x14ac:dyDescent="0.3">
      <c r="A6" s="590"/>
      <c r="B6" s="215" t="s">
        <v>64</v>
      </c>
      <c r="C6" s="218">
        <v>5.3879841691841559</v>
      </c>
      <c r="D6" s="218">
        <v>11.16628547226326</v>
      </c>
      <c r="E6" s="218">
        <v>7.0529277112487119</v>
      </c>
    </row>
    <row r="7" spans="1:5" ht="14.1" customHeight="1" x14ac:dyDescent="0.3">
      <c r="A7" s="590"/>
      <c r="B7" s="215" t="s">
        <v>65</v>
      </c>
      <c r="C7" s="218">
        <v>5.7970343854210498</v>
      </c>
      <c r="D7" s="218">
        <v>12.413581417468231</v>
      </c>
      <c r="E7" s="218">
        <v>7.9809125852288147</v>
      </c>
    </row>
    <row r="8" spans="1:5" ht="14.1" customHeight="1" x14ac:dyDescent="0.3">
      <c r="A8" s="591" t="s">
        <v>218</v>
      </c>
      <c r="B8" s="226" t="s">
        <v>61</v>
      </c>
      <c r="C8" s="227">
        <v>1.2058989219288561</v>
      </c>
      <c r="D8" s="227">
        <v>3.2005542268893921</v>
      </c>
      <c r="E8" s="227">
        <v>1.5261002068865537</v>
      </c>
    </row>
    <row r="9" spans="1:5" ht="14.1" customHeight="1" x14ac:dyDescent="0.3">
      <c r="A9" s="590"/>
      <c r="B9" s="215" t="s">
        <v>62</v>
      </c>
      <c r="C9" s="218">
        <v>1.1542232273995943</v>
      </c>
      <c r="D9" s="218">
        <v>2.4871420538348508</v>
      </c>
      <c r="E9" s="218">
        <v>1.4320802363610572</v>
      </c>
    </row>
    <row r="10" spans="1:5" ht="14.1" customHeight="1" x14ac:dyDescent="0.3">
      <c r="A10" s="590"/>
      <c r="B10" s="215" t="s">
        <v>63</v>
      </c>
      <c r="C10" s="218">
        <v>1.6745457422086389</v>
      </c>
      <c r="D10" s="218">
        <v>3.0773070356413048</v>
      </c>
      <c r="E10" s="218">
        <v>1.9962950759564029</v>
      </c>
    </row>
    <row r="11" spans="1:5" ht="14.1" customHeight="1" x14ac:dyDescent="0.3">
      <c r="A11" s="590"/>
      <c r="B11" s="215" t="s">
        <v>64</v>
      </c>
      <c r="C11" s="218">
        <v>0.914809351316623</v>
      </c>
      <c r="D11" s="218">
        <v>3.2728748249516415</v>
      </c>
      <c r="E11" s="218">
        <v>1.5942557277113416</v>
      </c>
    </row>
    <row r="12" spans="1:5" ht="14.1" customHeight="1" x14ac:dyDescent="0.3">
      <c r="A12" s="592"/>
      <c r="B12" s="222" t="s">
        <v>65</v>
      </c>
      <c r="C12" s="223">
        <v>0.65765266692330548</v>
      </c>
      <c r="D12" s="223">
        <v>1.3986161092487841</v>
      </c>
      <c r="E12" s="223">
        <v>0.90221737729435869</v>
      </c>
    </row>
    <row r="13" spans="1:5" ht="14.1" customHeight="1" x14ac:dyDescent="0.3">
      <c r="A13" s="593" t="s">
        <v>163</v>
      </c>
      <c r="B13" s="220" t="s">
        <v>61</v>
      </c>
      <c r="C13" s="221">
        <v>3.2844199633055395</v>
      </c>
      <c r="D13" s="221">
        <v>8.7943623816523591</v>
      </c>
      <c r="E13" s="221">
        <v>4.1689290000348063</v>
      </c>
    </row>
    <row r="14" spans="1:5" ht="14.1" customHeight="1" x14ac:dyDescent="0.3">
      <c r="A14" s="594"/>
      <c r="B14" s="215" t="s">
        <v>62</v>
      </c>
      <c r="C14" s="218">
        <v>3.7480701821706952</v>
      </c>
      <c r="D14" s="218">
        <v>11.108797150981554</v>
      </c>
      <c r="E14" s="218">
        <v>5.2824693809617385</v>
      </c>
    </row>
    <row r="15" spans="1:5" ht="14.1" customHeight="1" x14ac:dyDescent="0.3">
      <c r="A15" s="594"/>
      <c r="B15" s="215" t="s">
        <v>63</v>
      </c>
      <c r="C15" s="218">
        <v>4.5806559535778941</v>
      </c>
      <c r="D15" s="218">
        <v>10.346661902026778</v>
      </c>
      <c r="E15" s="218">
        <v>5.9031964178640015</v>
      </c>
    </row>
    <row r="16" spans="1:5" ht="14.1" customHeight="1" x14ac:dyDescent="0.3">
      <c r="A16" s="594"/>
      <c r="B16" s="215" t="s">
        <v>64</v>
      </c>
      <c r="C16" s="218">
        <v>4.0429355600307169</v>
      </c>
      <c r="D16" s="218">
        <v>9.8653375760497752</v>
      </c>
      <c r="E16" s="218">
        <v>5.7205861579164168</v>
      </c>
    </row>
    <row r="17" spans="1:5" ht="14.1" customHeight="1" thickBot="1" x14ac:dyDescent="0.35">
      <c r="A17" s="594"/>
      <c r="B17" s="224" t="s">
        <v>65</v>
      </c>
      <c r="C17" s="225">
        <v>4.4770097260580632</v>
      </c>
      <c r="D17" s="225">
        <v>9.2913780281802723</v>
      </c>
      <c r="E17" s="225">
        <v>6.0660551798158995</v>
      </c>
    </row>
    <row r="18" spans="1:5" ht="14.1" customHeight="1" x14ac:dyDescent="0.3">
      <c r="A18" s="595" t="s">
        <v>219</v>
      </c>
      <c r="B18" s="215" t="s">
        <v>61</v>
      </c>
      <c r="C18" s="218">
        <v>6.7287831974203733</v>
      </c>
      <c r="D18" s="218">
        <v>15.668198410032966</v>
      </c>
      <c r="E18" s="218">
        <v>8.1638242447283194</v>
      </c>
    </row>
    <row r="19" spans="1:5" ht="14.1" customHeight="1" x14ac:dyDescent="0.3">
      <c r="A19" s="594"/>
      <c r="B19" s="215" t="s">
        <v>62</v>
      </c>
      <c r="C19" s="218">
        <v>7.4181182924865166</v>
      </c>
      <c r="D19" s="218">
        <v>20.048173725992104</v>
      </c>
      <c r="E19" s="218">
        <v>10.050948856637735</v>
      </c>
    </row>
    <row r="20" spans="1:5" ht="14.1" customHeight="1" x14ac:dyDescent="0.3">
      <c r="A20" s="594"/>
      <c r="B20" s="215" t="s">
        <v>63</v>
      </c>
      <c r="C20" s="218">
        <v>8.937828838949649</v>
      </c>
      <c r="D20" s="218">
        <v>20.061741907408273</v>
      </c>
      <c r="E20" s="218">
        <v>11.489304728112625</v>
      </c>
    </row>
    <row r="21" spans="1:5" ht="14.1" customHeight="1" x14ac:dyDescent="0.3">
      <c r="A21" s="594"/>
      <c r="B21" s="215" t="s">
        <v>64</v>
      </c>
      <c r="C21" s="218">
        <v>7.9197971295819913</v>
      </c>
      <c r="D21" s="218">
        <v>17.773471132215604</v>
      </c>
      <c r="E21" s="218">
        <v>10.759007138854402</v>
      </c>
    </row>
    <row r="22" spans="1:5" ht="14.1" customHeight="1" thickBot="1" x14ac:dyDescent="0.35">
      <c r="A22" s="596"/>
      <c r="B22" s="216" t="s">
        <v>65</v>
      </c>
      <c r="C22" s="219">
        <v>9.287340469993941</v>
      </c>
      <c r="D22" s="219">
        <v>19.079790622531327</v>
      </c>
      <c r="E22" s="219">
        <v>12.519467183104089</v>
      </c>
    </row>
    <row r="23" spans="1:5" ht="11.1" customHeight="1" thickTop="1" x14ac:dyDescent="0.3">
      <c r="A23" s="610" t="s">
        <v>220</v>
      </c>
      <c r="B23" s="610"/>
      <c r="C23" s="610"/>
      <c r="D23" s="610"/>
      <c r="E23" s="610"/>
    </row>
    <row r="25" spans="1:5" ht="68.099999999999994" customHeight="1" thickBot="1" x14ac:dyDescent="0.35">
      <c r="A25" s="612" t="s">
        <v>247</v>
      </c>
      <c r="B25" s="613"/>
      <c r="C25" s="613"/>
      <c r="D25" s="613"/>
      <c r="E25" s="613"/>
    </row>
    <row r="26" spans="1:5" ht="16.5" customHeight="1" thickTop="1" thickBot="1" x14ac:dyDescent="0.35">
      <c r="A26" s="611" t="s">
        <v>212</v>
      </c>
      <c r="B26" s="611"/>
      <c r="C26" s="233" t="s">
        <v>231</v>
      </c>
      <c r="D26" s="233" t="s">
        <v>232</v>
      </c>
      <c r="E26" s="233" t="s">
        <v>120</v>
      </c>
    </row>
    <row r="27" spans="1:5" ht="14.1" customHeight="1" thickTop="1" x14ac:dyDescent="0.3">
      <c r="A27" s="589" t="s">
        <v>217</v>
      </c>
      <c r="B27" s="214" t="s">
        <v>61</v>
      </c>
      <c r="C27" s="217">
        <v>71.214569568769221</v>
      </c>
      <c r="D27" s="217">
        <v>28.785430431230687</v>
      </c>
      <c r="E27" s="217">
        <v>100</v>
      </c>
    </row>
    <row r="28" spans="1:5" ht="14.1" customHeight="1" x14ac:dyDescent="0.3">
      <c r="A28" s="590"/>
      <c r="B28" s="215" t="s">
        <v>62</v>
      </c>
      <c r="C28" s="218">
        <v>63.731668050616975</v>
      </c>
      <c r="D28" s="218">
        <v>36.268331949382173</v>
      </c>
      <c r="E28" s="218">
        <v>100</v>
      </c>
    </row>
    <row r="29" spans="1:5" ht="14.1" customHeight="1" x14ac:dyDescent="0.3">
      <c r="A29" s="590"/>
      <c r="B29" s="215" t="s">
        <v>63</v>
      </c>
      <c r="C29" s="218">
        <v>63.181880992069274</v>
      </c>
      <c r="D29" s="218">
        <v>36.818119007930719</v>
      </c>
      <c r="E29" s="218">
        <v>100</v>
      </c>
    </row>
    <row r="30" spans="1:5" ht="14.1" customHeight="1" x14ac:dyDescent="0.3">
      <c r="A30" s="590"/>
      <c r="B30" s="215" t="s">
        <v>64</v>
      </c>
      <c r="C30" s="218">
        <v>54.381749950212289</v>
      </c>
      <c r="D30" s="218">
        <v>45.618250049787626</v>
      </c>
      <c r="E30" s="218">
        <v>100</v>
      </c>
    </row>
    <row r="31" spans="1:5" ht="14.1" customHeight="1" x14ac:dyDescent="0.3">
      <c r="A31" s="590"/>
      <c r="B31" s="215" t="s">
        <v>65</v>
      </c>
      <c r="C31" s="218">
        <v>48.661691886278682</v>
      </c>
      <c r="D31" s="218">
        <v>51.338308113720032</v>
      </c>
      <c r="E31" s="218">
        <v>100</v>
      </c>
    </row>
    <row r="32" spans="1:5" ht="14.1" customHeight="1" x14ac:dyDescent="0.3">
      <c r="A32" s="591" t="s">
        <v>218</v>
      </c>
      <c r="B32" s="226" t="s">
        <v>61</v>
      </c>
      <c r="C32" s="227">
        <v>66.333547787349218</v>
      </c>
      <c r="D32" s="227">
        <v>33.666452212650796</v>
      </c>
      <c r="E32" s="227">
        <v>100</v>
      </c>
    </row>
    <row r="33" spans="1:5" ht="14.1" customHeight="1" x14ac:dyDescent="0.3">
      <c r="A33" s="590"/>
      <c r="B33" s="215" t="s">
        <v>62</v>
      </c>
      <c r="C33" s="218">
        <v>63.796472024685102</v>
      </c>
      <c r="D33" s="218">
        <v>36.20352797531482</v>
      </c>
      <c r="E33" s="218">
        <v>100</v>
      </c>
    </row>
    <row r="34" spans="1:5" ht="14.1" customHeight="1" x14ac:dyDescent="0.3">
      <c r="A34" s="590"/>
      <c r="B34" s="215" t="s">
        <v>63</v>
      </c>
      <c r="C34" s="218">
        <v>64.642628094480159</v>
      </c>
      <c r="D34" s="218">
        <v>35.357371905519578</v>
      </c>
      <c r="E34" s="218">
        <v>100</v>
      </c>
    </row>
    <row r="35" spans="1:5" ht="14.1" customHeight="1" x14ac:dyDescent="0.3">
      <c r="A35" s="590"/>
      <c r="B35" s="215" t="s">
        <v>64</v>
      </c>
      <c r="C35" s="218">
        <v>40.847822437363284</v>
      </c>
      <c r="D35" s="218">
        <v>59.152177562636673</v>
      </c>
      <c r="E35" s="218">
        <v>100</v>
      </c>
    </row>
    <row r="36" spans="1:5" ht="14.1" customHeight="1" x14ac:dyDescent="0.3">
      <c r="A36" s="592"/>
      <c r="B36" s="222" t="s">
        <v>65</v>
      </c>
      <c r="C36" s="223">
        <v>48.833660560947152</v>
      </c>
      <c r="D36" s="223">
        <v>51.166339439052834</v>
      </c>
      <c r="E36" s="223">
        <v>100</v>
      </c>
    </row>
    <row r="37" spans="1:5" ht="14.1" customHeight="1" x14ac:dyDescent="0.3">
      <c r="A37" s="593" t="s">
        <v>163</v>
      </c>
      <c r="B37" s="220" t="s">
        <v>61</v>
      </c>
      <c r="C37" s="221">
        <v>66.136248194399087</v>
      </c>
      <c r="D37" s="221">
        <v>33.863751805601119</v>
      </c>
      <c r="E37" s="221">
        <v>100</v>
      </c>
    </row>
    <row r="38" spans="1:5" ht="14.1" customHeight="1" x14ac:dyDescent="0.3">
      <c r="A38" s="594"/>
      <c r="B38" s="215" t="s">
        <v>62</v>
      </c>
      <c r="C38" s="218">
        <v>56.162305839713596</v>
      </c>
      <c r="D38" s="218">
        <v>43.837694160286333</v>
      </c>
      <c r="E38" s="218">
        <v>100</v>
      </c>
    </row>
    <row r="39" spans="1:5" ht="14.1" customHeight="1" x14ac:dyDescent="0.3">
      <c r="A39" s="594"/>
      <c r="B39" s="215" t="s">
        <v>63</v>
      </c>
      <c r="C39" s="218">
        <v>59.79806967834682</v>
      </c>
      <c r="D39" s="218">
        <v>40.201930321653585</v>
      </c>
      <c r="E39" s="218">
        <v>100</v>
      </c>
    </row>
    <row r="40" spans="1:5" ht="14.1" customHeight="1" x14ac:dyDescent="0.3">
      <c r="A40" s="594"/>
      <c r="B40" s="215" t="s">
        <v>64</v>
      </c>
      <c r="C40" s="218">
        <v>50.309799727564439</v>
      </c>
      <c r="D40" s="218">
        <v>49.690200272435611</v>
      </c>
      <c r="E40" s="218">
        <v>100</v>
      </c>
    </row>
    <row r="41" spans="1:5" ht="14.1" customHeight="1" thickBot="1" x14ac:dyDescent="0.35">
      <c r="A41" s="594"/>
      <c r="B41" s="224" t="s">
        <v>65</v>
      </c>
      <c r="C41" s="225">
        <v>49.444223795324447</v>
      </c>
      <c r="D41" s="225">
        <v>50.55577620467642</v>
      </c>
      <c r="E41" s="225">
        <v>100</v>
      </c>
    </row>
    <row r="42" spans="1:5" ht="14.1" customHeight="1" x14ac:dyDescent="0.3">
      <c r="A42" s="595" t="s">
        <v>219</v>
      </c>
      <c r="B42" s="215" t="s">
        <v>61</v>
      </c>
      <c r="C42" s="218">
        <v>69.190785199033584</v>
      </c>
      <c r="D42" s="218">
        <v>30.809214800966295</v>
      </c>
      <c r="E42" s="218">
        <v>100</v>
      </c>
    </row>
    <row r="43" spans="1:5" ht="14.1" customHeight="1" x14ac:dyDescent="0.3">
      <c r="A43" s="594"/>
      <c r="B43" s="215" t="s">
        <v>62</v>
      </c>
      <c r="C43" s="218">
        <v>58.419911612640604</v>
      </c>
      <c r="D43" s="218">
        <v>41.580088387358344</v>
      </c>
      <c r="E43" s="218">
        <v>100</v>
      </c>
    </row>
    <row r="44" spans="1:5" ht="14.1" customHeight="1" x14ac:dyDescent="0.3">
      <c r="A44" s="594"/>
      <c r="B44" s="215" t="s">
        <v>63</v>
      </c>
      <c r="C44" s="218">
        <v>59.949423381782594</v>
      </c>
      <c r="D44" s="218">
        <v>40.050576618217512</v>
      </c>
      <c r="E44" s="218">
        <v>100</v>
      </c>
    </row>
    <row r="45" spans="1:5" ht="14.1" customHeight="1" x14ac:dyDescent="0.3">
      <c r="A45" s="594"/>
      <c r="B45" s="215" t="s">
        <v>64</v>
      </c>
      <c r="C45" s="218">
        <v>52.400829458386347</v>
      </c>
      <c r="D45" s="218">
        <v>47.59917054161378</v>
      </c>
      <c r="E45" s="218">
        <v>100</v>
      </c>
    </row>
    <row r="46" spans="1:5" ht="14.1" customHeight="1" thickBot="1" x14ac:dyDescent="0.35">
      <c r="A46" s="596"/>
      <c r="B46" s="216" t="s">
        <v>65</v>
      </c>
      <c r="C46" s="219">
        <v>49.698056210484005</v>
      </c>
      <c r="D46" s="219">
        <v>50.301943789515022</v>
      </c>
      <c r="E46" s="219">
        <v>100</v>
      </c>
    </row>
    <row r="47" spans="1:5" ht="11.1" customHeight="1" thickTop="1" x14ac:dyDescent="0.3">
      <c r="A47" s="610" t="s">
        <v>220</v>
      </c>
      <c r="B47" s="610"/>
      <c r="C47" s="610"/>
      <c r="D47" s="610"/>
      <c r="E47" s="610"/>
    </row>
  </sheetData>
  <mergeCells count="14">
    <mergeCell ref="A1:E1"/>
    <mergeCell ref="A3:A7"/>
    <mergeCell ref="A8:A12"/>
    <mergeCell ref="A13:A17"/>
    <mergeCell ref="A32:A36"/>
    <mergeCell ref="A37:A41"/>
    <mergeCell ref="A42:A46"/>
    <mergeCell ref="A47:E47"/>
    <mergeCell ref="A2:B2"/>
    <mergeCell ref="A26:B26"/>
    <mergeCell ref="A18:A22"/>
    <mergeCell ref="A23:E23"/>
    <mergeCell ref="A25:E25"/>
    <mergeCell ref="A27:A3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topLeftCell="A2" zoomScale="110" zoomScaleNormal="110" workbookViewId="0">
      <selection sqref="A1:E1"/>
    </sheetView>
  </sheetViews>
  <sheetFormatPr baseColWidth="10" defaultColWidth="9.109375" defaultRowHeight="14.4" x14ac:dyDescent="0.3"/>
  <cols>
    <col min="1" max="1" width="21.109375" customWidth="1"/>
    <col min="2" max="2" width="11.88671875" customWidth="1"/>
    <col min="3" max="5" width="14.109375" customWidth="1"/>
  </cols>
  <sheetData>
    <row r="1" spans="1:5" ht="68.099999999999994" customHeight="1" thickBot="1" x14ac:dyDescent="0.35">
      <c r="A1" s="617" t="s">
        <v>248</v>
      </c>
      <c r="B1" s="617"/>
      <c r="C1" s="617"/>
      <c r="D1" s="617"/>
      <c r="E1" s="617"/>
    </row>
    <row r="2" spans="1:5" ht="16.5" customHeight="1" thickTop="1" thickBot="1" x14ac:dyDescent="0.35">
      <c r="A2" s="616" t="s">
        <v>212</v>
      </c>
      <c r="B2" s="616"/>
      <c r="C2" s="235" t="s">
        <v>231</v>
      </c>
      <c r="D2" s="235" t="s">
        <v>232</v>
      </c>
      <c r="E2" s="234" t="s">
        <v>120</v>
      </c>
    </row>
    <row r="3" spans="1:5" ht="14.1" customHeight="1" thickTop="1" x14ac:dyDescent="0.3">
      <c r="A3" s="589" t="s">
        <v>217</v>
      </c>
      <c r="B3" s="214" t="s">
        <v>61</v>
      </c>
      <c r="C3" s="217">
        <v>5.2559509837858789</v>
      </c>
      <c r="D3" s="217">
        <v>6.0505392335483252</v>
      </c>
      <c r="E3" s="217">
        <v>5.6639020932687929</v>
      </c>
    </row>
    <row r="4" spans="1:5" ht="14.1" customHeight="1" x14ac:dyDescent="0.3">
      <c r="A4" s="590"/>
      <c r="B4" s="215" t="s">
        <v>62</v>
      </c>
      <c r="C4" s="218">
        <v>7.1711569045942101</v>
      </c>
      <c r="D4" s="218">
        <v>7.3464622603448673</v>
      </c>
      <c r="E4" s="218">
        <v>7.2624365667372803</v>
      </c>
    </row>
    <row r="5" spans="1:5" ht="14.1" customHeight="1" x14ac:dyDescent="0.3">
      <c r="A5" s="590"/>
      <c r="B5" s="215" t="s">
        <v>63</v>
      </c>
      <c r="C5" s="218">
        <v>7.6733738493498391</v>
      </c>
      <c r="D5" s="218">
        <v>8.6501250871675204</v>
      </c>
      <c r="E5" s="218">
        <v>8.1798432395376111</v>
      </c>
    </row>
    <row r="6" spans="1:5" ht="14.1" customHeight="1" x14ac:dyDescent="0.3">
      <c r="A6" s="590"/>
      <c r="B6" s="215" t="s">
        <v>64</v>
      </c>
      <c r="C6" s="218">
        <v>6.9473601472672373</v>
      </c>
      <c r="D6" s="218">
        <v>7.1539789244955729</v>
      </c>
      <c r="E6" s="218">
        <v>7.0529277112487119</v>
      </c>
    </row>
    <row r="7" spans="1:5" ht="14.1" customHeight="1" x14ac:dyDescent="0.3">
      <c r="A7" s="590"/>
      <c r="B7" s="215" t="s">
        <v>65</v>
      </c>
      <c r="C7" s="218">
        <v>7.4186208898220736</v>
      </c>
      <c r="D7" s="218">
        <v>8.5103082705307163</v>
      </c>
      <c r="E7" s="218">
        <v>7.9809125852288147</v>
      </c>
    </row>
    <row r="8" spans="1:5" ht="14.1" customHeight="1" x14ac:dyDescent="0.3">
      <c r="A8" s="591" t="s">
        <v>218</v>
      </c>
      <c r="B8" s="226" t="s">
        <v>61</v>
      </c>
      <c r="C8" s="227">
        <v>1.450667695979456</v>
      </c>
      <c r="D8" s="227">
        <v>1.5975916420690499</v>
      </c>
      <c r="E8" s="227">
        <v>1.5261002068865537</v>
      </c>
    </row>
    <row r="9" spans="1:5" ht="14.1" customHeight="1" x14ac:dyDescent="0.3">
      <c r="A9" s="590"/>
      <c r="B9" s="215" t="s">
        <v>62</v>
      </c>
      <c r="C9" s="218">
        <v>1.5547128116168973</v>
      </c>
      <c r="D9" s="218">
        <v>1.319193236641037</v>
      </c>
      <c r="E9" s="218">
        <v>1.4320802363610572</v>
      </c>
    </row>
    <row r="10" spans="1:5" ht="14.1" customHeight="1" x14ac:dyDescent="0.3">
      <c r="A10" s="590"/>
      <c r="B10" s="215" t="s">
        <v>63</v>
      </c>
      <c r="C10" s="218">
        <v>2.1213165748747977</v>
      </c>
      <c r="D10" s="218">
        <v>1.880206438333099</v>
      </c>
      <c r="E10" s="218">
        <v>1.9962950759564029</v>
      </c>
    </row>
    <row r="11" spans="1:5" ht="14.1" customHeight="1" x14ac:dyDescent="0.3">
      <c r="A11" s="590"/>
      <c r="B11" s="215" t="s">
        <v>64</v>
      </c>
      <c r="C11" s="218">
        <v>1.4579617632788806</v>
      </c>
      <c r="D11" s="218">
        <v>1.7247188164167755</v>
      </c>
      <c r="E11" s="218">
        <v>1.5942557277113416</v>
      </c>
    </row>
    <row r="12" spans="1:5" ht="14.1" customHeight="1" x14ac:dyDescent="0.3">
      <c r="A12" s="592"/>
      <c r="B12" s="222" t="s">
        <v>65</v>
      </c>
      <c r="C12" s="223">
        <v>0.87690119134527478</v>
      </c>
      <c r="D12" s="223">
        <v>0.9260524787536738</v>
      </c>
      <c r="E12" s="223">
        <v>0.90221737729435869</v>
      </c>
    </row>
    <row r="13" spans="1:5" ht="14.1" customHeight="1" x14ac:dyDescent="0.3">
      <c r="A13" s="593" t="s">
        <v>163</v>
      </c>
      <c r="B13" s="220" t="s">
        <v>61</v>
      </c>
      <c r="C13" s="221">
        <v>3.988397577723974</v>
      </c>
      <c r="D13" s="221">
        <v>4.3400283088253531</v>
      </c>
      <c r="E13" s="221">
        <v>4.1689290000348063</v>
      </c>
    </row>
    <row r="14" spans="1:5" ht="14.1" customHeight="1" x14ac:dyDescent="0.3">
      <c r="A14" s="594"/>
      <c r="B14" s="215" t="s">
        <v>62</v>
      </c>
      <c r="C14" s="218">
        <v>5.3620525592791672</v>
      </c>
      <c r="D14" s="218">
        <v>5.209210654969108</v>
      </c>
      <c r="E14" s="218">
        <v>5.2824693809617385</v>
      </c>
    </row>
    <row r="15" spans="1:5" ht="14.1" customHeight="1" x14ac:dyDescent="0.3">
      <c r="A15" s="594"/>
      <c r="B15" s="215" t="s">
        <v>63</v>
      </c>
      <c r="C15" s="218">
        <v>5.6381941910444811</v>
      </c>
      <c r="D15" s="218">
        <v>6.1492640761849318</v>
      </c>
      <c r="E15" s="218">
        <v>5.9031964178640015</v>
      </c>
    </row>
    <row r="16" spans="1:5" ht="14.1" customHeight="1" x14ac:dyDescent="0.3">
      <c r="A16" s="594"/>
      <c r="B16" s="215" t="s">
        <v>64</v>
      </c>
      <c r="C16" s="218">
        <v>5.569685500690511</v>
      </c>
      <c r="D16" s="218">
        <v>5.8650310415277378</v>
      </c>
      <c r="E16" s="218">
        <v>5.7205861579164168</v>
      </c>
    </row>
    <row r="17" spans="1:5" ht="14.1" customHeight="1" thickBot="1" x14ac:dyDescent="0.35">
      <c r="A17" s="594"/>
      <c r="B17" s="224" t="s">
        <v>65</v>
      </c>
      <c r="C17" s="225">
        <v>5.5993913006346991</v>
      </c>
      <c r="D17" s="225">
        <v>6.5054176070809637</v>
      </c>
      <c r="E17" s="225">
        <v>6.0660551798158995</v>
      </c>
    </row>
    <row r="18" spans="1:5" ht="14.1" customHeight="1" x14ac:dyDescent="0.3">
      <c r="A18" s="595" t="s">
        <v>219</v>
      </c>
      <c r="B18" s="215" t="s">
        <v>61</v>
      </c>
      <c r="C18" s="218">
        <v>7.8739123858017264</v>
      </c>
      <c r="D18" s="218">
        <v>8.4385892581403219</v>
      </c>
      <c r="E18" s="218">
        <v>8.1638242447283194</v>
      </c>
    </row>
    <row r="19" spans="1:5" ht="14.1" customHeight="1" x14ac:dyDescent="0.3">
      <c r="A19" s="594"/>
      <c r="B19" s="215" t="s">
        <v>62</v>
      </c>
      <c r="C19" s="218">
        <v>9.6033730660911178</v>
      </c>
      <c r="D19" s="218">
        <v>10.462955927652255</v>
      </c>
      <c r="E19" s="218">
        <v>10.050948856637735</v>
      </c>
    </row>
    <row r="20" spans="1:5" ht="14.1" customHeight="1" x14ac:dyDescent="0.3">
      <c r="A20" s="594"/>
      <c r="B20" s="215" t="s">
        <v>63</v>
      </c>
      <c r="C20" s="218">
        <v>11.301202116503115</v>
      </c>
      <c r="D20" s="218">
        <v>11.663967294983573</v>
      </c>
      <c r="E20" s="218">
        <v>11.489304728112625</v>
      </c>
    </row>
    <row r="21" spans="1:5" ht="14.1" customHeight="1" x14ac:dyDescent="0.3">
      <c r="A21" s="594"/>
      <c r="B21" s="215" t="s">
        <v>64</v>
      </c>
      <c r="C21" s="218">
        <v>10.234120651816419</v>
      </c>
      <c r="D21" s="218">
        <v>11.2614381350021</v>
      </c>
      <c r="E21" s="218">
        <v>10.759007138854402</v>
      </c>
    </row>
    <row r="22" spans="1:5" ht="14.1" customHeight="1" thickBot="1" x14ac:dyDescent="0.35">
      <c r="A22" s="596"/>
      <c r="B22" s="216" t="s">
        <v>65</v>
      </c>
      <c r="C22" s="219">
        <v>11.727742137945278</v>
      </c>
      <c r="D22" s="219">
        <v>13.264873573197614</v>
      </c>
      <c r="E22" s="219">
        <v>12.519467183104089</v>
      </c>
    </row>
    <row r="23" spans="1:5" ht="21" customHeight="1" thickTop="1" x14ac:dyDescent="0.3">
      <c r="A23" s="614" t="s">
        <v>220</v>
      </c>
      <c r="B23" s="615"/>
      <c r="C23" s="615"/>
      <c r="D23" s="615"/>
      <c r="E23" s="615"/>
    </row>
    <row r="25" spans="1:5" ht="68.099999999999994" customHeight="1" x14ac:dyDescent="0.3">
      <c r="A25" s="617" t="s">
        <v>249</v>
      </c>
      <c r="B25" s="617"/>
      <c r="C25" s="617"/>
      <c r="D25" s="617"/>
      <c r="E25" s="617"/>
    </row>
    <row r="26" spans="1:5" ht="17.25" customHeight="1" thickTop="1" thickBot="1" x14ac:dyDescent="0.35">
      <c r="A26" s="616" t="s">
        <v>212</v>
      </c>
      <c r="B26" s="616"/>
      <c r="C26" s="235" t="s">
        <v>231</v>
      </c>
      <c r="D26" s="235" t="s">
        <v>232</v>
      </c>
      <c r="E26" s="234" t="s">
        <v>120</v>
      </c>
    </row>
    <row r="27" spans="1:5" ht="14.1" customHeight="1" thickTop="1" x14ac:dyDescent="0.3">
      <c r="A27" s="589" t="s">
        <v>217</v>
      </c>
      <c r="B27" s="214" t="s">
        <v>61</v>
      </c>
      <c r="C27" s="217">
        <v>45.154080234714122</v>
      </c>
      <c r="D27" s="217">
        <v>54.845919765285757</v>
      </c>
      <c r="E27" s="217">
        <v>100</v>
      </c>
    </row>
    <row r="28" spans="1:5" ht="14.1" customHeight="1" x14ac:dyDescent="0.3">
      <c r="A28" s="590"/>
      <c r="B28" s="215" t="s">
        <v>62</v>
      </c>
      <c r="C28" s="218">
        <v>47.328614877602412</v>
      </c>
      <c r="D28" s="218">
        <v>52.671385122396742</v>
      </c>
      <c r="E28" s="218">
        <v>100</v>
      </c>
    </row>
    <row r="29" spans="1:5" ht="14.1" customHeight="1" x14ac:dyDescent="0.3">
      <c r="A29" s="590"/>
      <c r="B29" s="215" t="s">
        <v>63</v>
      </c>
      <c r="C29" s="218">
        <v>45.166415181921053</v>
      </c>
      <c r="D29" s="218">
        <v>54.83358481807857</v>
      </c>
      <c r="E29" s="218">
        <v>100</v>
      </c>
    </row>
    <row r="30" spans="1:5" ht="14.1" customHeight="1" x14ac:dyDescent="0.3">
      <c r="A30" s="590"/>
      <c r="B30" s="215" t="s">
        <v>64</v>
      </c>
      <c r="C30" s="218">
        <v>48.175044615888375</v>
      </c>
      <c r="D30" s="218">
        <v>51.82495538411149</v>
      </c>
      <c r="E30" s="218">
        <v>100</v>
      </c>
    </row>
    <row r="31" spans="1:5" ht="14.1" customHeight="1" x14ac:dyDescent="0.3">
      <c r="A31" s="590"/>
      <c r="B31" s="215" t="s">
        <v>65</v>
      </c>
      <c r="C31" s="218">
        <v>45.076764026640561</v>
      </c>
      <c r="D31" s="218">
        <v>54.923235973358345</v>
      </c>
      <c r="E31" s="218">
        <v>100</v>
      </c>
    </row>
    <row r="32" spans="1:5" ht="14.1" customHeight="1" x14ac:dyDescent="0.3">
      <c r="A32" s="591" t="s">
        <v>218</v>
      </c>
      <c r="B32" s="226" t="s">
        <v>61</v>
      </c>
      <c r="C32" s="227">
        <v>46.253683075402471</v>
      </c>
      <c r="D32" s="227">
        <v>53.746316924597522</v>
      </c>
      <c r="E32" s="227">
        <v>100</v>
      </c>
    </row>
    <row r="33" spans="1:5" ht="14.1" customHeight="1" x14ac:dyDescent="0.3">
      <c r="A33" s="590"/>
      <c r="B33" s="215" t="s">
        <v>62</v>
      </c>
      <c r="C33" s="218">
        <v>52.035501903011927</v>
      </c>
      <c r="D33" s="218">
        <v>47.964498096988031</v>
      </c>
      <c r="E33" s="218">
        <v>100</v>
      </c>
    </row>
    <row r="34" spans="1:5" ht="14.1" customHeight="1" x14ac:dyDescent="0.3">
      <c r="A34" s="590"/>
      <c r="B34" s="215" t="s">
        <v>63</v>
      </c>
      <c r="C34" s="218">
        <v>51.162881414530681</v>
      </c>
      <c r="D34" s="218">
        <v>48.837118585469049</v>
      </c>
      <c r="E34" s="218">
        <v>100</v>
      </c>
    </row>
    <row r="35" spans="1:5" ht="14.1" customHeight="1" x14ac:dyDescent="0.3">
      <c r="A35" s="590"/>
      <c r="B35" s="215" t="s">
        <v>64</v>
      </c>
      <c r="C35" s="218">
        <v>44.725982895751223</v>
      </c>
      <c r="D35" s="218">
        <v>55.27401710424872</v>
      </c>
      <c r="E35" s="218">
        <v>100</v>
      </c>
    </row>
    <row r="36" spans="1:5" ht="14.1" customHeight="1" x14ac:dyDescent="0.3">
      <c r="A36" s="592"/>
      <c r="B36" s="222" t="s">
        <v>65</v>
      </c>
      <c r="C36" s="223">
        <v>47.132619760413533</v>
      </c>
      <c r="D36" s="223">
        <v>52.867380239586467</v>
      </c>
      <c r="E36" s="223">
        <v>100</v>
      </c>
    </row>
    <row r="37" spans="1:5" ht="14.1" customHeight="1" x14ac:dyDescent="0.3">
      <c r="A37" s="593" t="s">
        <v>163</v>
      </c>
      <c r="B37" s="220" t="s">
        <v>61</v>
      </c>
      <c r="C37" s="221">
        <v>46.551681887504827</v>
      </c>
      <c r="D37" s="221">
        <v>53.448318112495372</v>
      </c>
      <c r="E37" s="221">
        <v>100</v>
      </c>
    </row>
    <row r="38" spans="1:5" ht="14.1" customHeight="1" x14ac:dyDescent="0.3">
      <c r="A38" s="594"/>
      <c r="B38" s="215" t="s">
        <v>62</v>
      </c>
      <c r="C38" s="218">
        <v>48.653154086815306</v>
      </c>
      <c r="D38" s="218">
        <v>51.346845913184715</v>
      </c>
      <c r="E38" s="218">
        <v>100</v>
      </c>
    </row>
    <row r="39" spans="1:5" ht="14.1" customHeight="1" x14ac:dyDescent="0.3">
      <c r="A39" s="594"/>
      <c r="B39" s="215" t="s">
        <v>63</v>
      </c>
      <c r="C39" s="218">
        <v>45.986148930974288</v>
      </c>
      <c r="D39" s="218">
        <v>54.01385106902611</v>
      </c>
      <c r="E39" s="218">
        <v>100</v>
      </c>
    </row>
    <row r="40" spans="1:5" ht="14.1" customHeight="1" x14ac:dyDescent="0.3">
      <c r="A40" s="594"/>
      <c r="B40" s="215" t="s">
        <v>64</v>
      </c>
      <c r="C40" s="218">
        <v>47.616984304223749</v>
      </c>
      <c r="D40" s="218">
        <v>52.383015695776322</v>
      </c>
      <c r="E40" s="218">
        <v>100</v>
      </c>
    </row>
    <row r="41" spans="1:5" ht="14.1" customHeight="1" thickBot="1" x14ac:dyDescent="0.35">
      <c r="A41" s="594"/>
      <c r="B41" s="224" t="s">
        <v>65</v>
      </c>
      <c r="C41" s="225">
        <v>44.762730351110406</v>
      </c>
      <c r="D41" s="225">
        <v>55.237269648890575</v>
      </c>
      <c r="E41" s="225">
        <v>100</v>
      </c>
    </row>
    <row r="42" spans="1:5" ht="14.1" customHeight="1" x14ac:dyDescent="0.3">
      <c r="A42" s="595" t="s">
        <v>219</v>
      </c>
      <c r="B42" s="215" t="s">
        <v>61</v>
      </c>
      <c r="C42" s="218">
        <v>46.930843832268209</v>
      </c>
      <c r="D42" s="218">
        <v>53.069156167731613</v>
      </c>
      <c r="E42" s="218">
        <v>100</v>
      </c>
    </row>
    <row r="43" spans="1:5" ht="14.1" customHeight="1" x14ac:dyDescent="0.3">
      <c r="A43" s="594"/>
      <c r="B43" s="215" t="s">
        <v>62</v>
      </c>
      <c r="C43" s="218">
        <v>45.796644540842415</v>
      </c>
      <c r="D43" s="218">
        <v>54.203355459156469</v>
      </c>
      <c r="E43" s="218">
        <v>100</v>
      </c>
    </row>
    <row r="44" spans="1:5" ht="14.1" customHeight="1" x14ac:dyDescent="0.3">
      <c r="A44" s="594"/>
      <c r="B44" s="215" t="s">
        <v>63</v>
      </c>
      <c r="C44" s="218">
        <v>47.359285250154663</v>
      </c>
      <c r="D44" s="218">
        <v>52.640714749845138</v>
      </c>
      <c r="E44" s="218">
        <v>100</v>
      </c>
    </row>
    <row r="45" spans="1:5" ht="14.1" customHeight="1" x14ac:dyDescent="0.3">
      <c r="A45" s="594"/>
      <c r="B45" s="215" t="s">
        <v>64</v>
      </c>
      <c r="C45" s="218">
        <v>46.521111449399797</v>
      </c>
      <c r="D45" s="218">
        <v>53.478888550600324</v>
      </c>
      <c r="E45" s="218">
        <v>100</v>
      </c>
    </row>
    <row r="46" spans="1:5" ht="14.1" customHeight="1" thickBot="1" x14ac:dyDescent="0.35">
      <c r="A46" s="596"/>
      <c r="B46" s="216" t="s">
        <v>65</v>
      </c>
      <c r="C46" s="219">
        <v>45.426645682426866</v>
      </c>
      <c r="D46" s="219">
        <v>54.573354317572111</v>
      </c>
      <c r="E46" s="219">
        <v>100</v>
      </c>
    </row>
    <row r="47" spans="1:5" ht="21" customHeight="1" thickTop="1" x14ac:dyDescent="0.3">
      <c r="A47" s="614" t="s">
        <v>233</v>
      </c>
      <c r="B47" s="615"/>
      <c r="C47" s="615"/>
      <c r="D47" s="615"/>
      <c r="E47" s="615"/>
    </row>
  </sheetData>
  <mergeCells count="14">
    <mergeCell ref="A1:E1"/>
    <mergeCell ref="A3:A7"/>
    <mergeCell ref="A8:A12"/>
    <mergeCell ref="A13:A17"/>
    <mergeCell ref="A32:A36"/>
    <mergeCell ref="A37:A41"/>
    <mergeCell ref="A42:A46"/>
    <mergeCell ref="A47:E47"/>
    <mergeCell ref="A2:B2"/>
    <mergeCell ref="A26:B26"/>
    <mergeCell ref="A18:A22"/>
    <mergeCell ref="A23:E23"/>
    <mergeCell ref="A25:E25"/>
    <mergeCell ref="A27:A3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zoomScale="110" zoomScaleNormal="110" workbookViewId="0">
      <selection sqref="A1:H1"/>
    </sheetView>
  </sheetViews>
  <sheetFormatPr baseColWidth="10" defaultColWidth="9.109375" defaultRowHeight="14.4" x14ac:dyDescent="0.3"/>
  <cols>
    <col min="1" max="1" width="21.109375" customWidth="1"/>
    <col min="2" max="2" width="11.88671875" customWidth="1"/>
    <col min="3" max="3" width="9.5546875" customWidth="1"/>
    <col min="4" max="5" width="10.44140625" customWidth="1"/>
    <col min="6" max="6" width="10.88671875" customWidth="1"/>
    <col min="7" max="8" width="9.5546875" customWidth="1"/>
  </cols>
  <sheetData>
    <row r="1" spans="1:8" ht="57" customHeight="1" thickBot="1" x14ac:dyDescent="0.35">
      <c r="A1" s="619" t="s">
        <v>251</v>
      </c>
      <c r="B1" s="620"/>
      <c r="C1" s="620"/>
      <c r="D1" s="620"/>
      <c r="E1" s="620"/>
      <c r="F1" s="620"/>
      <c r="G1" s="620"/>
      <c r="H1" s="620"/>
    </row>
    <row r="2" spans="1:8" ht="18.75" customHeight="1" thickTop="1" thickBot="1" x14ac:dyDescent="0.35">
      <c r="A2" s="621" t="s">
        <v>212</v>
      </c>
      <c r="B2" s="621"/>
      <c r="C2" s="236" t="s">
        <v>234</v>
      </c>
      <c r="D2" s="236" t="s">
        <v>235</v>
      </c>
      <c r="E2" s="236" t="s">
        <v>236</v>
      </c>
      <c r="F2" s="236" t="s">
        <v>237</v>
      </c>
      <c r="G2" s="236" t="s">
        <v>238</v>
      </c>
      <c r="H2" s="236" t="s">
        <v>120</v>
      </c>
    </row>
    <row r="3" spans="1:8" ht="14.1" customHeight="1" thickTop="1" x14ac:dyDescent="0.3">
      <c r="A3" s="589" t="s">
        <v>217</v>
      </c>
      <c r="B3" s="214" t="s">
        <v>61</v>
      </c>
      <c r="C3" s="217">
        <v>11.830471708846952</v>
      </c>
      <c r="D3" s="217">
        <v>8.3559175105870676</v>
      </c>
      <c r="E3" s="217">
        <v>3.8359197847157245</v>
      </c>
      <c r="F3" s="217">
        <v>4.8137641143849503</v>
      </c>
      <c r="G3" s="217">
        <v>3.2104799210800965</v>
      </c>
      <c r="H3" s="217">
        <v>5.6639020932687929</v>
      </c>
    </row>
    <row r="4" spans="1:8" ht="14.1" customHeight="1" x14ac:dyDescent="0.3">
      <c r="A4" s="590"/>
      <c r="B4" s="215" t="s">
        <v>62</v>
      </c>
      <c r="C4" s="218">
        <v>19.699960820863211</v>
      </c>
      <c r="D4" s="218">
        <v>9.9651661211140574</v>
      </c>
      <c r="E4" s="218">
        <v>5.2961795407786676</v>
      </c>
      <c r="F4" s="218">
        <v>4.7079816289643324</v>
      </c>
      <c r="G4" s="218">
        <v>4.1780522481976412</v>
      </c>
      <c r="H4" s="218">
        <v>7.2624365667372803</v>
      </c>
    </row>
    <row r="5" spans="1:8" ht="14.1" customHeight="1" x14ac:dyDescent="0.3">
      <c r="A5" s="590"/>
      <c r="B5" s="215" t="s">
        <v>63</v>
      </c>
      <c r="C5" s="218">
        <v>15.852045785874427</v>
      </c>
      <c r="D5" s="218">
        <v>13.088747055048291</v>
      </c>
      <c r="E5" s="218">
        <v>8.917560139884122</v>
      </c>
      <c r="F5" s="218">
        <v>6.5257384666257776</v>
      </c>
      <c r="G5" s="218">
        <v>2.0553420573840682</v>
      </c>
      <c r="H5" s="218">
        <v>8.1798432395376111</v>
      </c>
    </row>
    <row r="6" spans="1:8" ht="14.1" customHeight="1" x14ac:dyDescent="0.3">
      <c r="A6" s="590"/>
      <c r="B6" s="215" t="s">
        <v>64</v>
      </c>
      <c r="C6" s="218">
        <v>18.328617682113276</v>
      </c>
      <c r="D6" s="218">
        <v>12.934309706166911</v>
      </c>
      <c r="E6" s="218">
        <v>6.9068188542298836</v>
      </c>
      <c r="F6" s="218">
        <v>6.2989056036554985</v>
      </c>
      <c r="G6" s="218">
        <v>1.7841940438319388</v>
      </c>
      <c r="H6" s="218">
        <v>7.0529277112487119</v>
      </c>
    </row>
    <row r="7" spans="1:8" ht="14.1" customHeight="1" x14ac:dyDescent="0.3">
      <c r="A7" s="590"/>
      <c r="B7" s="215" t="s">
        <v>65</v>
      </c>
      <c r="C7" s="218">
        <v>19.043169149287039</v>
      </c>
      <c r="D7" s="218">
        <v>11.505142765569557</v>
      </c>
      <c r="E7" s="218">
        <v>8.466415104597754</v>
      </c>
      <c r="F7" s="218">
        <v>6.6250109555430816</v>
      </c>
      <c r="G7" s="218">
        <v>3.4253895504274974</v>
      </c>
      <c r="H7" s="218">
        <v>7.9809125852288147</v>
      </c>
    </row>
    <row r="8" spans="1:8" ht="14.1" customHeight="1" x14ac:dyDescent="0.3">
      <c r="A8" s="591" t="s">
        <v>218</v>
      </c>
      <c r="B8" s="226" t="s">
        <v>61</v>
      </c>
      <c r="C8" s="227">
        <v>2.6516131503646201</v>
      </c>
      <c r="D8" s="227">
        <v>2.9897824804983624</v>
      </c>
      <c r="E8" s="227">
        <v>0.44229996816280887</v>
      </c>
      <c r="F8" s="227">
        <v>0.7475672898551351</v>
      </c>
      <c r="G8" s="227">
        <v>1.3001278417027204</v>
      </c>
      <c r="H8" s="227">
        <v>1.5261002068865537</v>
      </c>
    </row>
    <row r="9" spans="1:8" ht="14.1" customHeight="1" x14ac:dyDescent="0.3">
      <c r="A9" s="590"/>
      <c r="B9" s="215" t="s">
        <v>62</v>
      </c>
      <c r="C9" s="218">
        <v>3.8640885240735083</v>
      </c>
      <c r="D9" s="218">
        <v>1.724044184892638</v>
      </c>
      <c r="E9" s="218">
        <v>0.78766083727633529</v>
      </c>
      <c r="F9" s="218">
        <v>0.12693128824140804</v>
      </c>
      <c r="G9" s="218">
        <v>1.9070129115965686</v>
      </c>
      <c r="H9" s="218">
        <v>1.4320802363610572</v>
      </c>
    </row>
    <row r="10" spans="1:8" ht="14.1" customHeight="1" x14ac:dyDescent="0.3">
      <c r="A10" s="590"/>
      <c r="B10" s="215" t="s">
        <v>63</v>
      </c>
      <c r="C10" s="218">
        <v>3.3130707003841602</v>
      </c>
      <c r="D10" s="218">
        <v>4.5292183646422473</v>
      </c>
      <c r="E10" s="218">
        <v>1.3010630673947343</v>
      </c>
      <c r="F10" s="218">
        <v>0.64511318183174515</v>
      </c>
      <c r="G10" s="218">
        <v>0.98745711069375353</v>
      </c>
      <c r="H10" s="218">
        <v>1.9962950759564029</v>
      </c>
    </row>
    <row r="11" spans="1:8" ht="14.1" customHeight="1" x14ac:dyDescent="0.3">
      <c r="A11" s="590"/>
      <c r="B11" s="215" t="s">
        <v>64</v>
      </c>
      <c r="C11" s="218">
        <v>2.5950966742463697</v>
      </c>
      <c r="D11" s="218">
        <v>4.0909330062869769</v>
      </c>
      <c r="E11" s="218">
        <v>1.2907256962398594</v>
      </c>
      <c r="F11" s="218">
        <v>0.54550149124900904</v>
      </c>
      <c r="G11" s="218">
        <v>0.73082354682763673</v>
      </c>
      <c r="H11" s="218">
        <v>1.5942557277113416</v>
      </c>
    </row>
    <row r="12" spans="1:8" ht="14.1" customHeight="1" x14ac:dyDescent="0.3">
      <c r="A12" s="592"/>
      <c r="B12" s="222" t="s">
        <v>65</v>
      </c>
      <c r="C12" s="223">
        <v>1.9861554627436575</v>
      </c>
      <c r="D12" s="223">
        <v>1.6623227397604092</v>
      </c>
      <c r="E12" s="223">
        <v>0.9226551355003122</v>
      </c>
      <c r="F12" s="223">
        <v>0.38388443016918211</v>
      </c>
      <c r="G12" s="223">
        <v>0.43797261021654388</v>
      </c>
      <c r="H12" s="223">
        <v>0.90221737729435869</v>
      </c>
    </row>
    <row r="13" spans="1:8" ht="14.1" customHeight="1" x14ac:dyDescent="0.3">
      <c r="A13" s="593" t="s">
        <v>163</v>
      </c>
      <c r="B13" s="220" t="s">
        <v>61</v>
      </c>
      <c r="C13" s="221">
        <v>9.4074025111455661</v>
      </c>
      <c r="D13" s="221">
        <v>7.5859526261725456</v>
      </c>
      <c r="E13" s="221">
        <v>2.5949635864586282</v>
      </c>
      <c r="F13" s="221">
        <v>2.6510871330394399</v>
      </c>
      <c r="G13" s="221">
        <v>1.5658484711139335</v>
      </c>
      <c r="H13" s="221">
        <v>4.1689290000348063</v>
      </c>
    </row>
    <row r="14" spans="1:8" ht="14.1" customHeight="1" x14ac:dyDescent="0.3">
      <c r="A14" s="594"/>
      <c r="B14" s="215" t="s">
        <v>62</v>
      </c>
      <c r="C14" s="218">
        <v>18.033319245922165</v>
      </c>
      <c r="D14" s="218">
        <v>7.3715370722581</v>
      </c>
      <c r="E14" s="218">
        <v>4.0908057027831877</v>
      </c>
      <c r="F14" s="218">
        <v>2.93184720447098</v>
      </c>
      <c r="G14" s="218">
        <v>1.6897698980763498</v>
      </c>
      <c r="H14" s="218">
        <v>5.2824693809617385</v>
      </c>
    </row>
    <row r="15" spans="1:8" ht="14.1" customHeight="1" x14ac:dyDescent="0.3">
      <c r="A15" s="594"/>
      <c r="B15" s="215" t="s">
        <v>63</v>
      </c>
      <c r="C15" s="218">
        <v>13.557134609139423</v>
      </c>
      <c r="D15" s="218">
        <v>11.053892733965663</v>
      </c>
      <c r="E15" s="218">
        <v>5.332659138401759</v>
      </c>
      <c r="F15" s="218">
        <v>3.9579156284464756</v>
      </c>
      <c r="G15" s="218">
        <v>1.0632654529576799</v>
      </c>
      <c r="H15" s="218">
        <v>5.9031964178640015</v>
      </c>
    </row>
    <row r="16" spans="1:8" ht="14.1" customHeight="1" x14ac:dyDescent="0.3">
      <c r="A16" s="594"/>
      <c r="B16" s="215" t="s">
        <v>64</v>
      </c>
      <c r="C16" s="218">
        <v>15.278541713639218</v>
      </c>
      <c r="D16" s="218">
        <v>11.670082816567966</v>
      </c>
      <c r="E16" s="218">
        <v>5.7943607514411886</v>
      </c>
      <c r="F16" s="218">
        <v>4.1543792091963372</v>
      </c>
      <c r="G16" s="218">
        <v>1.1076651185176933</v>
      </c>
      <c r="H16" s="218">
        <v>5.7205861579164168</v>
      </c>
    </row>
    <row r="17" spans="1:8" ht="14.1" customHeight="1" thickBot="1" x14ac:dyDescent="0.35">
      <c r="A17" s="594"/>
      <c r="B17" s="224" t="s">
        <v>65</v>
      </c>
      <c r="C17" s="225">
        <v>16.154970983124581</v>
      </c>
      <c r="D17" s="225">
        <v>9.9233334299968359</v>
      </c>
      <c r="E17" s="225">
        <v>6.5873021679252703</v>
      </c>
      <c r="F17" s="225">
        <v>4.3967419670332628</v>
      </c>
      <c r="G17" s="225">
        <v>1.6557024744422562</v>
      </c>
      <c r="H17" s="225">
        <v>6.0660551798158995</v>
      </c>
    </row>
    <row r="18" spans="1:8" ht="14.1" customHeight="1" x14ac:dyDescent="0.3">
      <c r="A18" s="595" t="s">
        <v>219</v>
      </c>
      <c r="B18" s="215" t="s">
        <v>61</v>
      </c>
      <c r="C18" s="218">
        <v>14.441240646665129</v>
      </c>
      <c r="D18" s="218">
        <v>13.194821010969534</v>
      </c>
      <c r="E18" s="218">
        <v>6.1317005189502627</v>
      </c>
      <c r="F18" s="218">
        <v>5.3167980951242066</v>
      </c>
      <c r="G18" s="218">
        <v>5.0363429446377239</v>
      </c>
      <c r="H18" s="218">
        <v>8.1638242447283194</v>
      </c>
    </row>
    <row r="19" spans="1:8" ht="14.1" customHeight="1" x14ac:dyDescent="0.3">
      <c r="A19" s="594"/>
      <c r="B19" s="215" t="s">
        <v>62</v>
      </c>
      <c r="C19" s="218">
        <v>28.184789546387801</v>
      </c>
      <c r="D19" s="218">
        <v>11.571874970957396</v>
      </c>
      <c r="E19" s="218">
        <v>9.3113986527246091</v>
      </c>
      <c r="F19" s="218">
        <v>4.9466165613432009</v>
      </c>
      <c r="G19" s="218">
        <v>6.5655065771406926</v>
      </c>
      <c r="H19" s="218">
        <v>10.050948856637735</v>
      </c>
    </row>
    <row r="20" spans="1:8" ht="14.1" customHeight="1" x14ac:dyDescent="0.3">
      <c r="A20" s="594"/>
      <c r="B20" s="215" t="s">
        <v>63</v>
      </c>
      <c r="C20" s="218">
        <v>23.225390506673175</v>
      </c>
      <c r="D20" s="218">
        <v>16.930101845764661</v>
      </c>
      <c r="E20" s="218">
        <v>11.892365955521658</v>
      </c>
      <c r="F20" s="218">
        <v>7.7308715046012653</v>
      </c>
      <c r="G20" s="218">
        <v>5.7035007350288334</v>
      </c>
      <c r="H20" s="218">
        <v>11.489304728112625</v>
      </c>
    </row>
    <row r="21" spans="1:8" ht="14.1" customHeight="1" x14ac:dyDescent="0.3">
      <c r="A21" s="594"/>
      <c r="B21" s="215" t="s">
        <v>64</v>
      </c>
      <c r="C21" s="218">
        <v>24.807615249728972</v>
      </c>
      <c r="D21" s="218">
        <v>18.833723362680072</v>
      </c>
      <c r="E21" s="218">
        <v>12.097566766522597</v>
      </c>
      <c r="F21" s="218">
        <v>6.9836518283310527</v>
      </c>
      <c r="G21" s="218">
        <v>4.4992132262807347</v>
      </c>
      <c r="H21" s="218">
        <v>10.759007138854402</v>
      </c>
    </row>
    <row r="22" spans="1:8" ht="14.1" customHeight="1" thickBot="1" x14ac:dyDescent="0.35">
      <c r="A22" s="596"/>
      <c r="B22" s="216" t="s">
        <v>65</v>
      </c>
      <c r="C22" s="219">
        <v>27.718702980527805</v>
      </c>
      <c r="D22" s="219">
        <v>16.918348809217896</v>
      </c>
      <c r="E22" s="219">
        <v>13.061314269138521</v>
      </c>
      <c r="F22" s="219">
        <v>10.469969225299064</v>
      </c>
      <c r="G22" s="219">
        <v>6.8583514329046285</v>
      </c>
      <c r="H22" s="219">
        <v>12.519467183104089</v>
      </c>
    </row>
    <row r="23" spans="1:8" ht="11.1" customHeight="1" thickTop="1" x14ac:dyDescent="0.3">
      <c r="A23" s="618" t="s">
        <v>220</v>
      </c>
      <c r="B23" s="618"/>
      <c r="C23" s="618"/>
      <c r="D23" s="618"/>
      <c r="E23" s="618"/>
      <c r="F23" s="618"/>
      <c r="G23" s="618"/>
      <c r="H23" s="618"/>
    </row>
    <row r="25" spans="1:8" ht="57" customHeight="1" thickBot="1" x14ac:dyDescent="0.35">
      <c r="A25" s="619" t="s">
        <v>250</v>
      </c>
      <c r="B25" s="620"/>
      <c r="C25" s="620"/>
      <c r="D25" s="620"/>
      <c r="E25" s="620"/>
      <c r="F25" s="620"/>
      <c r="G25" s="620"/>
      <c r="H25" s="620"/>
    </row>
    <row r="26" spans="1:8" ht="16.5" customHeight="1" thickTop="1" thickBot="1" x14ac:dyDescent="0.35">
      <c r="A26" s="621" t="s">
        <v>212</v>
      </c>
      <c r="B26" s="621"/>
      <c r="C26" s="236" t="s">
        <v>234</v>
      </c>
      <c r="D26" s="236" t="s">
        <v>235</v>
      </c>
      <c r="E26" s="236" t="s">
        <v>236</v>
      </c>
      <c r="F26" s="236" t="s">
        <v>237</v>
      </c>
      <c r="G26" s="236" t="s">
        <v>238</v>
      </c>
      <c r="H26" s="236" t="s">
        <v>120</v>
      </c>
    </row>
    <row r="27" spans="1:8" ht="14.1" customHeight="1" thickTop="1" x14ac:dyDescent="0.3">
      <c r="A27" s="589" t="s">
        <v>217</v>
      </c>
      <c r="B27" s="214" t="s">
        <v>61</v>
      </c>
      <c r="C27" s="217">
        <v>17.243858699693497</v>
      </c>
      <c r="D27" s="217">
        <v>36.880980885365908</v>
      </c>
      <c r="E27" s="217">
        <v>15.92470469274773</v>
      </c>
      <c r="F27" s="217">
        <v>16.349155418108143</v>
      </c>
      <c r="G27" s="217">
        <v>13.60130030408469</v>
      </c>
      <c r="H27" s="217">
        <v>100</v>
      </c>
    </row>
    <row r="28" spans="1:8" ht="14.1" customHeight="1" x14ac:dyDescent="0.3">
      <c r="A28" s="590"/>
      <c r="B28" s="215" t="s">
        <v>62</v>
      </c>
      <c r="C28" s="218">
        <v>24.347490502949352</v>
      </c>
      <c r="D28" s="218">
        <v>31.014818124415033</v>
      </c>
      <c r="E28" s="218">
        <v>18.743980116648164</v>
      </c>
      <c r="F28" s="218">
        <v>11.709493506968414</v>
      </c>
      <c r="G28" s="218">
        <v>14.18421774901814</v>
      </c>
      <c r="H28" s="218">
        <v>100</v>
      </c>
    </row>
    <row r="29" spans="1:8" ht="14.1" customHeight="1" x14ac:dyDescent="0.3">
      <c r="A29" s="590"/>
      <c r="B29" s="215" t="s">
        <v>63</v>
      </c>
      <c r="C29" s="218">
        <v>13.291097649639052</v>
      </c>
      <c r="D29" s="218">
        <v>37.847542521220738</v>
      </c>
      <c r="E29" s="218">
        <v>27.063762680754316</v>
      </c>
      <c r="F29" s="218">
        <v>15.436967645955335</v>
      </c>
      <c r="G29" s="218">
        <v>6.3606295024303945</v>
      </c>
      <c r="H29" s="218">
        <v>100</v>
      </c>
    </row>
    <row r="30" spans="1:8" ht="14.1" customHeight="1" x14ac:dyDescent="0.3">
      <c r="A30" s="590"/>
      <c r="B30" s="215" t="s">
        <v>64</v>
      </c>
      <c r="C30" s="218">
        <v>12.713612648334657</v>
      </c>
      <c r="D30" s="218">
        <v>36.880673428512701</v>
      </c>
      <c r="E30" s="218">
        <v>23.83978606639004</v>
      </c>
      <c r="F30" s="218">
        <v>19.186895130564128</v>
      </c>
      <c r="G30" s="218">
        <v>7.3790327261985356</v>
      </c>
      <c r="H30" s="218">
        <v>100</v>
      </c>
    </row>
    <row r="31" spans="1:8" ht="14.1" customHeight="1" x14ac:dyDescent="0.3">
      <c r="A31" s="590"/>
      <c r="B31" s="215" t="s">
        <v>65</v>
      </c>
      <c r="C31" s="218">
        <v>14.020649869273885</v>
      </c>
      <c r="D31" s="218">
        <v>31.441904691897509</v>
      </c>
      <c r="E31" s="218">
        <v>25.676740931325799</v>
      </c>
      <c r="F31" s="218">
        <v>17.004343319762359</v>
      </c>
      <c r="G31" s="218">
        <v>11.856361187739701</v>
      </c>
      <c r="H31" s="218">
        <v>100</v>
      </c>
    </row>
    <row r="32" spans="1:8" ht="14.1" customHeight="1" x14ac:dyDescent="0.3">
      <c r="A32" s="591" t="s">
        <v>218</v>
      </c>
      <c r="B32" s="226" t="s">
        <v>61</v>
      </c>
      <c r="C32" s="227">
        <v>14.344164087381795</v>
      </c>
      <c r="D32" s="227">
        <v>48.975693909125859</v>
      </c>
      <c r="E32" s="227">
        <v>6.8147741148997438</v>
      </c>
      <c r="F32" s="227">
        <v>9.4230933600825022</v>
      </c>
      <c r="G32" s="227">
        <v>20.442274528510119</v>
      </c>
      <c r="H32" s="227">
        <v>100</v>
      </c>
    </row>
    <row r="33" spans="1:8" ht="14.1" customHeight="1" x14ac:dyDescent="0.3">
      <c r="A33" s="590"/>
      <c r="B33" s="215" t="s">
        <v>62</v>
      </c>
      <c r="C33" s="218">
        <v>24.218704642312865</v>
      </c>
      <c r="D33" s="218">
        <v>27.211224710195086</v>
      </c>
      <c r="E33" s="218">
        <v>14.136873414789813</v>
      </c>
      <c r="F33" s="218">
        <v>1.6009841754004777</v>
      </c>
      <c r="G33" s="218">
        <v>32.832213057301807</v>
      </c>
      <c r="H33" s="218">
        <v>100</v>
      </c>
    </row>
    <row r="34" spans="1:8" ht="14.1" customHeight="1" x14ac:dyDescent="0.3">
      <c r="A34" s="590"/>
      <c r="B34" s="215" t="s">
        <v>63</v>
      </c>
      <c r="C34" s="218">
        <v>11.382207005813145</v>
      </c>
      <c r="D34" s="218">
        <v>53.664009222280683</v>
      </c>
      <c r="E34" s="218">
        <v>16.179337104968919</v>
      </c>
      <c r="F34" s="218">
        <v>6.2530008944837618</v>
      </c>
      <c r="G34" s="218">
        <v>12.521445772453291</v>
      </c>
      <c r="H34" s="218">
        <v>100</v>
      </c>
    </row>
    <row r="35" spans="1:8" ht="14.1" customHeight="1" x14ac:dyDescent="0.3">
      <c r="A35" s="590"/>
      <c r="B35" s="215" t="s">
        <v>64</v>
      </c>
      <c r="C35" s="218">
        <v>7.9635048855911883</v>
      </c>
      <c r="D35" s="218">
        <v>51.604717022135361</v>
      </c>
      <c r="E35" s="218">
        <v>19.709231506408059</v>
      </c>
      <c r="F35" s="218">
        <v>7.3510096122188227</v>
      </c>
      <c r="G35" s="218">
        <v>13.371536973646498</v>
      </c>
      <c r="H35" s="218">
        <v>100</v>
      </c>
    </row>
    <row r="36" spans="1:8" ht="14.1" customHeight="1" x14ac:dyDescent="0.3">
      <c r="A36" s="592"/>
      <c r="B36" s="222" t="s">
        <v>65</v>
      </c>
      <c r="C36" s="223">
        <v>12.935509060636138</v>
      </c>
      <c r="D36" s="223">
        <v>40.185885918647344</v>
      </c>
      <c r="E36" s="223">
        <v>24.75261637720023</v>
      </c>
      <c r="F36" s="223">
        <v>8.7159579938049134</v>
      </c>
      <c r="G36" s="223">
        <v>13.410030649711373</v>
      </c>
      <c r="H36" s="223">
        <v>100</v>
      </c>
    </row>
    <row r="37" spans="1:8" ht="14.1" customHeight="1" x14ac:dyDescent="0.3">
      <c r="A37" s="593" t="s">
        <v>163</v>
      </c>
      <c r="B37" s="220" t="s">
        <v>61</v>
      </c>
      <c r="C37" s="221">
        <v>18.629163710879094</v>
      </c>
      <c r="D37" s="221">
        <v>45.489345046752632</v>
      </c>
      <c r="E37" s="221">
        <v>14.636066613796833</v>
      </c>
      <c r="F37" s="221">
        <v>12.232796691983367</v>
      </c>
      <c r="G37" s="221">
        <v>9.0126279365882951</v>
      </c>
      <c r="H37" s="221">
        <v>100</v>
      </c>
    </row>
    <row r="38" spans="1:8" ht="14.1" customHeight="1" x14ac:dyDescent="0.3">
      <c r="A38" s="594"/>
      <c r="B38" s="215" t="s">
        <v>62</v>
      </c>
      <c r="C38" s="218">
        <v>30.641489831752033</v>
      </c>
      <c r="D38" s="218">
        <v>31.541919103660842</v>
      </c>
      <c r="E38" s="218">
        <v>19.904594386232226</v>
      </c>
      <c r="F38" s="218">
        <v>10.025130790490836</v>
      </c>
      <c r="G38" s="218">
        <v>7.8868658878639417</v>
      </c>
      <c r="H38" s="218">
        <v>100</v>
      </c>
    </row>
    <row r="39" spans="1:8" ht="14.1" customHeight="1" x14ac:dyDescent="0.3">
      <c r="A39" s="594"/>
      <c r="B39" s="215" t="s">
        <v>63</v>
      </c>
      <c r="C39" s="218">
        <v>15.75074810048593</v>
      </c>
      <c r="D39" s="218">
        <v>44.290706058644517</v>
      </c>
      <c r="E39" s="218">
        <v>22.425580883720535</v>
      </c>
      <c r="F39" s="218">
        <v>12.973483640065172</v>
      </c>
      <c r="G39" s="218">
        <v>4.5594813170840176</v>
      </c>
      <c r="H39" s="218">
        <v>100</v>
      </c>
    </row>
    <row r="40" spans="1:8" ht="14.1" customHeight="1" x14ac:dyDescent="0.3">
      <c r="A40" s="594"/>
      <c r="B40" s="215" t="s">
        <v>64</v>
      </c>
      <c r="C40" s="218">
        <v>13.066223091455814</v>
      </c>
      <c r="D40" s="218">
        <v>41.025929226753576</v>
      </c>
      <c r="E40" s="218">
        <v>24.658049500463321</v>
      </c>
      <c r="F40" s="218">
        <v>15.601797603763746</v>
      </c>
      <c r="G40" s="218">
        <v>5.6480005775636277</v>
      </c>
      <c r="H40" s="218">
        <v>100</v>
      </c>
    </row>
    <row r="41" spans="1:8" ht="14.1" customHeight="1" thickBot="1" x14ac:dyDescent="0.35">
      <c r="A41" s="594"/>
      <c r="B41" s="224" t="s">
        <v>65</v>
      </c>
      <c r="C41" s="225">
        <v>15.648809321754472</v>
      </c>
      <c r="D41" s="225">
        <v>35.679652538486032</v>
      </c>
      <c r="E41" s="225">
        <v>26.284161338431172</v>
      </c>
      <c r="F41" s="225">
        <v>14.847401073829467</v>
      </c>
      <c r="G41" s="225">
        <v>7.5399757274997299</v>
      </c>
      <c r="H41" s="225">
        <v>100</v>
      </c>
    </row>
    <row r="42" spans="1:8" ht="14.1" customHeight="1" x14ac:dyDescent="0.3">
      <c r="A42" s="595" t="s">
        <v>219</v>
      </c>
      <c r="B42" s="215" t="s">
        <v>61</v>
      </c>
      <c r="C42" s="218">
        <v>14.603568439020478</v>
      </c>
      <c r="D42" s="218">
        <v>40.404888576215015</v>
      </c>
      <c r="E42" s="218">
        <v>17.660577340355747</v>
      </c>
      <c r="F42" s="218">
        <v>12.528029770261352</v>
      </c>
      <c r="G42" s="218">
        <v>14.802935874147391</v>
      </c>
      <c r="H42" s="218">
        <v>100</v>
      </c>
    </row>
    <row r="43" spans="1:8" ht="14.1" customHeight="1" x14ac:dyDescent="0.3">
      <c r="A43" s="594"/>
      <c r="B43" s="215" t="s">
        <v>62</v>
      </c>
      <c r="C43" s="218">
        <v>25.169751509626192</v>
      </c>
      <c r="D43" s="218">
        <v>26.023380841379989</v>
      </c>
      <c r="E43" s="218">
        <v>23.811640947185467</v>
      </c>
      <c r="F43" s="218">
        <v>8.8896955303901422</v>
      </c>
      <c r="G43" s="218">
        <v>16.105531171417152</v>
      </c>
      <c r="H43" s="218">
        <v>100</v>
      </c>
    </row>
    <row r="44" spans="1:8" ht="14.1" customHeight="1" x14ac:dyDescent="0.3">
      <c r="A44" s="594"/>
      <c r="B44" s="215" t="s">
        <v>63</v>
      </c>
      <c r="C44" s="218">
        <v>13.864039534477904</v>
      </c>
      <c r="D44" s="218">
        <v>34.8538224029707</v>
      </c>
      <c r="E44" s="218">
        <v>25.695769458845213</v>
      </c>
      <c r="F44" s="218">
        <v>13.020030958324744</v>
      </c>
      <c r="G44" s="218">
        <v>12.566337645381473</v>
      </c>
      <c r="H44" s="218">
        <v>100</v>
      </c>
    </row>
    <row r="45" spans="1:8" ht="14.1" customHeight="1" x14ac:dyDescent="0.3">
      <c r="A45" s="594"/>
      <c r="B45" s="215" t="s">
        <v>64</v>
      </c>
      <c r="C45" s="218">
        <v>11.280322539607328</v>
      </c>
      <c r="D45" s="218">
        <v>35.203756692418317</v>
      </c>
      <c r="E45" s="218">
        <v>27.372820689537498</v>
      </c>
      <c r="F45" s="218">
        <v>13.945028883478431</v>
      </c>
      <c r="G45" s="218">
        <v>12.198071194958343</v>
      </c>
      <c r="H45" s="218">
        <v>100</v>
      </c>
    </row>
    <row r="46" spans="1:8" ht="14.1" customHeight="1" thickBot="1" x14ac:dyDescent="0.35">
      <c r="A46" s="596"/>
      <c r="B46" s="216" t="s">
        <v>65</v>
      </c>
      <c r="C46" s="219">
        <v>13.009737438278563</v>
      </c>
      <c r="D46" s="219">
        <v>29.474165470515828</v>
      </c>
      <c r="E46" s="219">
        <v>25.251892301650265</v>
      </c>
      <c r="F46" s="219">
        <v>17.131105005819609</v>
      </c>
      <c r="G46" s="219">
        <v>15.133099783735155</v>
      </c>
      <c r="H46" s="219">
        <v>100</v>
      </c>
    </row>
    <row r="47" spans="1:8" ht="11.1" customHeight="1" thickTop="1" x14ac:dyDescent="0.3">
      <c r="A47" s="618" t="s">
        <v>220</v>
      </c>
      <c r="B47" s="618"/>
      <c r="C47" s="618"/>
      <c r="D47" s="618"/>
      <c r="E47" s="618"/>
      <c r="F47" s="618"/>
      <c r="G47" s="618"/>
      <c r="H47" s="618"/>
    </row>
  </sheetData>
  <mergeCells count="14">
    <mergeCell ref="A32:A36"/>
    <mergeCell ref="A37:A41"/>
    <mergeCell ref="A42:A46"/>
    <mergeCell ref="A47:H47"/>
    <mergeCell ref="A26:B26"/>
    <mergeCell ref="A18:A22"/>
    <mergeCell ref="A23:H23"/>
    <mergeCell ref="A25:H25"/>
    <mergeCell ref="A27:A31"/>
    <mergeCell ref="A1:H1"/>
    <mergeCell ref="A3:A7"/>
    <mergeCell ref="A8:A12"/>
    <mergeCell ref="A13:A17"/>
    <mergeCell ref="A2:B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zoomScale="110" zoomScaleNormal="110" workbookViewId="0">
      <selection sqref="A1:J1"/>
    </sheetView>
  </sheetViews>
  <sheetFormatPr baseColWidth="10" defaultColWidth="9.109375" defaultRowHeight="14.4" x14ac:dyDescent="0.3"/>
  <cols>
    <col min="1" max="1" width="21.109375" customWidth="1"/>
    <col min="2" max="2" width="11.88671875" customWidth="1"/>
    <col min="3" max="10" width="10.88671875" customWidth="1"/>
  </cols>
  <sheetData>
    <row r="1" spans="1:10" ht="57" customHeight="1" thickBot="1" x14ac:dyDescent="0.35">
      <c r="A1" s="622" t="s">
        <v>253</v>
      </c>
      <c r="B1" s="622"/>
      <c r="C1" s="622"/>
      <c r="D1" s="622"/>
      <c r="E1" s="622"/>
      <c r="F1" s="622"/>
      <c r="G1" s="622"/>
      <c r="H1" s="622"/>
      <c r="I1" s="622"/>
      <c r="J1" s="622"/>
    </row>
    <row r="2" spans="1:10" ht="14.25" customHeight="1" thickTop="1" thickBot="1" x14ac:dyDescent="0.35">
      <c r="A2" s="625" t="s">
        <v>212</v>
      </c>
      <c r="B2" s="625"/>
      <c r="C2" s="237" t="s">
        <v>239</v>
      </c>
      <c r="D2" s="237" t="s">
        <v>240</v>
      </c>
      <c r="E2" s="237" t="s">
        <v>241</v>
      </c>
      <c r="F2" s="237" t="s">
        <v>235</v>
      </c>
      <c r="G2" s="237" t="s">
        <v>236</v>
      </c>
      <c r="H2" s="237" t="s">
        <v>242</v>
      </c>
      <c r="I2" s="549" t="s">
        <v>238</v>
      </c>
      <c r="J2" s="237" t="s">
        <v>120</v>
      </c>
    </row>
    <row r="3" spans="1:10" ht="14.1" customHeight="1" thickTop="1" x14ac:dyDescent="0.3">
      <c r="A3" s="589" t="s">
        <v>217</v>
      </c>
      <c r="B3" s="214" t="s">
        <v>61</v>
      </c>
      <c r="C3" s="217">
        <v>9.0974878937176822</v>
      </c>
      <c r="D3" s="217">
        <v>6.912951374378812</v>
      </c>
      <c r="E3" s="217">
        <v>5.3070570369082777</v>
      </c>
      <c r="F3" s="217">
        <v>5.766899224416826</v>
      </c>
      <c r="G3" s="217">
        <v>3.3329763857568082</v>
      </c>
      <c r="H3" s="217">
        <v>5.5990659480031022</v>
      </c>
      <c r="I3" s="217">
        <v>4.2815636387831875</v>
      </c>
      <c r="J3" s="217">
        <v>5.6639020932687929</v>
      </c>
    </row>
    <row r="4" spans="1:10" ht="14.1" customHeight="1" x14ac:dyDescent="0.3">
      <c r="A4" s="590"/>
      <c r="B4" s="215" t="s">
        <v>62</v>
      </c>
      <c r="C4" s="218">
        <v>11.745727431859192</v>
      </c>
      <c r="D4" s="218">
        <v>8.351004943656589</v>
      </c>
      <c r="E4" s="218">
        <v>9.832671303422682</v>
      </c>
      <c r="F4" s="218">
        <v>7.4428045679266255</v>
      </c>
      <c r="G4" s="218">
        <v>5.1001912359495298</v>
      </c>
      <c r="H4" s="218">
        <v>5.3922684610039617</v>
      </c>
      <c r="I4" s="218">
        <v>4.6390148899807047</v>
      </c>
      <c r="J4" s="218">
        <v>7.2624365667372803</v>
      </c>
    </row>
    <row r="5" spans="1:10" ht="14.1" customHeight="1" x14ac:dyDescent="0.3">
      <c r="A5" s="590"/>
      <c r="B5" s="215" t="s">
        <v>63</v>
      </c>
      <c r="C5" s="218">
        <v>13.707280648871794</v>
      </c>
      <c r="D5" s="218">
        <v>10.225271654315057</v>
      </c>
      <c r="E5" s="218">
        <v>8.5568172928161008</v>
      </c>
      <c r="F5" s="218">
        <v>10.123535027436121</v>
      </c>
      <c r="G5" s="218">
        <v>8.0362895107253287</v>
      </c>
      <c r="H5" s="218">
        <v>7.0588665370763275</v>
      </c>
      <c r="I5" s="218">
        <v>2.21897419562585</v>
      </c>
      <c r="J5" s="218">
        <v>8.1798432395376111</v>
      </c>
    </row>
    <row r="6" spans="1:10" ht="14.1" customHeight="1" x14ac:dyDescent="0.3">
      <c r="A6" s="590"/>
      <c r="B6" s="215" t="s">
        <v>64</v>
      </c>
      <c r="C6" s="218">
        <v>11.738719290162349</v>
      </c>
      <c r="D6" s="218">
        <v>10.399340360339348</v>
      </c>
      <c r="E6" s="218">
        <v>7.912100815626208</v>
      </c>
      <c r="F6" s="218">
        <v>9.6959753726797864</v>
      </c>
      <c r="G6" s="218">
        <v>5.9378421052474639</v>
      </c>
      <c r="H6" s="218">
        <v>6.0640477764345242</v>
      </c>
      <c r="I6" s="218">
        <v>1.9560170905801633</v>
      </c>
      <c r="J6" s="218">
        <v>7.0529277112487119</v>
      </c>
    </row>
    <row r="7" spans="1:10" ht="14.1" customHeight="1" x14ac:dyDescent="0.3">
      <c r="A7" s="590"/>
      <c r="B7" s="215" t="s">
        <v>65</v>
      </c>
      <c r="C7" s="218">
        <v>11.531167452788022</v>
      </c>
      <c r="D7" s="218">
        <v>11.684451031951221</v>
      </c>
      <c r="E7" s="218">
        <v>8.7932962246137123</v>
      </c>
      <c r="F7" s="218">
        <v>8.2656071443616117</v>
      </c>
      <c r="G7" s="218">
        <v>8.3306106148822359</v>
      </c>
      <c r="H7" s="218">
        <v>6.5061957152206276</v>
      </c>
      <c r="I7" s="218">
        <v>4.1534702287805025</v>
      </c>
      <c r="J7" s="218">
        <v>7.9809125852288147</v>
      </c>
    </row>
    <row r="8" spans="1:10" ht="14.1" customHeight="1" x14ac:dyDescent="0.3">
      <c r="A8" s="591" t="s">
        <v>218</v>
      </c>
      <c r="B8" s="226" t="s">
        <v>61</v>
      </c>
      <c r="C8" s="227">
        <v>1.9902065967955054</v>
      </c>
      <c r="D8" s="227">
        <v>2.1826337326784819</v>
      </c>
      <c r="E8" s="227">
        <v>1.6180816358036869</v>
      </c>
      <c r="F8" s="227">
        <v>2.3228437560653155</v>
      </c>
      <c r="G8" s="227">
        <v>0.48450342962991588</v>
      </c>
      <c r="H8" s="227">
        <v>0.59062745309451214</v>
      </c>
      <c r="I8" s="227">
        <v>1.4678483319147202</v>
      </c>
      <c r="J8" s="227">
        <v>1.5261002068865537</v>
      </c>
    </row>
    <row r="9" spans="1:10" ht="14.1" customHeight="1" x14ac:dyDescent="0.3">
      <c r="A9" s="590"/>
      <c r="B9" s="215" t="s">
        <v>62</v>
      </c>
      <c r="C9" s="218">
        <v>2.7379161902918434</v>
      </c>
      <c r="D9" s="218">
        <v>1.7392176774867669</v>
      </c>
      <c r="E9" s="218">
        <v>1.827960685509735</v>
      </c>
      <c r="F9" s="218">
        <v>1.6106860818013091</v>
      </c>
      <c r="G9" s="218">
        <v>0.80996808380104501</v>
      </c>
      <c r="H9" s="218">
        <v>0.60492922747039402</v>
      </c>
      <c r="I9" s="218">
        <v>0.97157407653455718</v>
      </c>
      <c r="J9" s="218">
        <v>1.4320802363610572</v>
      </c>
    </row>
    <row r="10" spans="1:10" ht="14.1" customHeight="1" x14ac:dyDescent="0.3">
      <c r="A10" s="590"/>
      <c r="B10" s="215" t="s">
        <v>63</v>
      </c>
      <c r="C10" s="218">
        <v>4.0557164904667617</v>
      </c>
      <c r="D10" s="218">
        <v>3.033383669998424</v>
      </c>
      <c r="E10" s="218">
        <v>2.274629758397734</v>
      </c>
      <c r="F10" s="218">
        <v>2.711594563107778</v>
      </c>
      <c r="G10" s="218">
        <v>1.2313878917005512</v>
      </c>
      <c r="H10" s="218">
        <v>0.61800367371246523</v>
      </c>
      <c r="I10" s="218">
        <v>0.81047739331508195</v>
      </c>
      <c r="J10" s="218">
        <v>1.9962950759564029</v>
      </c>
    </row>
    <row r="11" spans="1:10" ht="14.1" customHeight="1" x14ac:dyDescent="0.3">
      <c r="A11" s="590"/>
      <c r="B11" s="215" t="s">
        <v>64</v>
      </c>
      <c r="C11" s="218">
        <v>2.8150220162284945</v>
      </c>
      <c r="D11" s="218">
        <v>1.7127626402643072</v>
      </c>
      <c r="E11" s="218">
        <v>1.9420283918513803</v>
      </c>
      <c r="F11" s="218">
        <v>2.5480399461995344</v>
      </c>
      <c r="G11" s="218">
        <v>1.7140731760542329</v>
      </c>
      <c r="H11" s="218">
        <v>0.49925337294444566</v>
      </c>
      <c r="I11" s="218">
        <v>0.59922470031014496</v>
      </c>
      <c r="J11" s="218">
        <v>1.5942557277113416</v>
      </c>
    </row>
    <row r="12" spans="1:10" ht="14.1" customHeight="1" x14ac:dyDescent="0.3">
      <c r="A12" s="592"/>
      <c r="B12" s="222" t="s">
        <v>65</v>
      </c>
      <c r="C12" s="223">
        <v>1.6267318837357274</v>
      </c>
      <c r="D12" s="223">
        <v>2.0950288550167957</v>
      </c>
      <c r="E12" s="223">
        <v>0.89681106979742453</v>
      </c>
      <c r="F12" s="223">
        <v>1.0568302500367996</v>
      </c>
      <c r="G12" s="223">
        <v>0.63677918721997651</v>
      </c>
      <c r="H12" s="223">
        <v>0.32553616434707</v>
      </c>
      <c r="I12" s="223">
        <v>0.39799979815924963</v>
      </c>
      <c r="J12" s="223">
        <v>0.90221737729435869</v>
      </c>
    </row>
    <row r="13" spans="1:10" ht="14.1" customHeight="1" x14ac:dyDescent="0.3">
      <c r="A13" s="593" t="s">
        <v>163</v>
      </c>
      <c r="B13" s="220" t="s">
        <v>61</v>
      </c>
      <c r="C13" s="221">
        <v>7.4148042162940779</v>
      </c>
      <c r="D13" s="221">
        <v>6.8534313549000085</v>
      </c>
      <c r="E13" s="221">
        <v>3.9671305654339197</v>
      </c>
      <c r="F13" s="221">
        <v>4.7829887006125382</v>
      </c>
      <c r="G13" s="221">
        <v>2.3713454954258228</v>
      </c>
      <c r="H13" s="221">
        <v>2.6915525845257653</v>
      </c>
      <c r="I13" s="221">
        <v>2.1499849412268559</v>
      </c>
      <c r="J13" s="221">
        <v>4.1689290000348063</v>
      </c>
    </row>
    <row r="14" spans="1:10" ht="14.1" customHeight="1" x14ac:dyDescent="0.3">
      <c r="A14" s="594"/>
      <c r="B14" s="215" t="s">
        <v>62</v>
      </c>
      <c r="C14" s="218">
        <v>9.527646878586177</v>
      </c>
      <c r="D14" s="218">
        <v>7.2210095688060569</v>
      </c>
      <c r="E14" s="218">
        <v>8.7141270955731773</v>
      </c>
      <c r="F14" s="218">
        <v>5.4370823687330878</v>
      </c>
      <c r="G14" s="218">
        <v>3.602908743070679</v>
      </c>
      <c r="H14" s="218">
        <v>3.0051297703545083</v>
      </c>
      <c r="I14" s="218">
        <v>1.7160693976645693</v>
      </c>
      <c r="J14" s="218">
        <v>5.2824693809617385</v>
      </c>
    </row>
    <row r="15" spans="1:10" ht="14.1" customHeight="1" x14ac:dyDescent="0.3">
      <c r="A15" s="594"/>
      <c r="B15" s="215" t="s">
        <v>63</v>
      </c>
      <c r="C15" s="218">
        <v>11.131936876904726</v>
      </c>
      <c r="D15" s="218">
        <v>8.6954613729718329</v>
      </c>
      <c r="E15" s="218">
        <v>6.9645994816785519</v>
      </c>
      <c r="F15" s="218">
        <v>8.038331988796859</v>
      </c>
      <c r="G15" s="218">
        <v>4.6571935815895369</v>
      </c>
      <c r="H15" s="218">
        <v>3.8255825563589236</v>
      </c>
      <c r="I15" s="218">
        <v>0.81532876243638508</v>
      </c>
      <c r="J15" s="218">
        <v>5.9031964178640015</v>
      </c>
    </row>
    <row r="16" spans="1:10" ht="14.1" customHeight="1" x14ac:dyDescent="0.3">
      <c r="A16" s="594"/>
      <c r="B16" s="215" t="s">
        <v>64</v>
      </c>
      <c r="C16" s="218">
        <v>10.514437583511794</v>
      </c>
      <c r="D16" s="218">
        <v>9.1229069604640358</v>
      </c>
      <c r="E16" s="218">
        <v>7.0603920695104225</v>
      </c>
      <c r="F16" s="218">
        <v>7.9704020351261988</v>
      </c>
      <c r="G16" s="218">
        <v>4.6414055125517475</v>
      </c>
      <c r="H16" s="218">
        <v>3.8914256270006899</v>
      </c>
      <c r="I16" s="218">
        <v>1.1239820873802331</v>
      </c>
      <c r="J16" s="218">
        <v>5.7205861579164168</v>
      </c>
    </row>
    <row r="17" spans="1:10" ht="14.1" customHeight="1" thickBot="1" x14ac:dyDescent="0.35">
      <c r="A17" s="594"/>
      <c r="B17" s="224" t="s">
        <v>65</v>
      </c>
      <c r="C17" s="225">
        <v>10.387892774885552</v>
      </c>
      <c r="D17" s="225">
        <v>10.439837708441408</v>
      </c>
      <c r="E17" s="225">
        <v>6.7375965316877995</v>
      </c>
      <c r="F17" s="225">
        <v>6.7593805194185936</v>
      </c>
      <c r="G17" s="225">
        <v>5.6882712821398984</v>
      </c>
      <c r="H17" s="225">
        <v>4.0757594322084127</v>
      </c>
      <c r="I17" s="225">
        <v>2.0989890771263777</v>
      </c>
      <c r="J17" s="225">
        <v>6.0660551798158995</v>
      </c>
    </row>
    <row r="18" spans="1:10" ht="14.1" customHeight="1" x14ac:dyDescent="0.3">
      <c r="A18" s="595" t="s">
        <v>219</v>
      </c>
      <c r="B18" s="215" t="s">
        <v>61</v>
      </c>
      <c r="C18" s="218">
        <v>13.041871104313534</v>
      </c>
      <c r="D18" s="218">
        <v>11.170921018236459</v>
      </c>
      <c r="E18" s="218">
        <v>7.0233469309637657</v>
      </c>
      <c r="F18" s="218">
        <v>9.9492855975705723</v>
      </c>
      <c r="G18" s="218">
        <v>5.549762785955819</v>
      </c>
      <c r="H18" s="218">
        <v>5.1128004964598723</v>
      </c>
      <c r="I18" s="218">
        <v>6.0083100931513238</v>
      </c>
      <c r="J18" s="218">
        <v>8.1638242447283194</v>
      </c>
    </row>
    <row r="19" spans="1:10" ht="14.1" customHeight="1" x14ac:dyDescent="0.3">
      <c r="A19" s="594"/>
      <c r="B19" s="215" t="s">
        <v>62</v>
      </c>
      <c r="C19" s="218">
        <v>14.103760515766325</v>
      </c>
      <c r="D19" s="218">
        <v>14.178352542296352</v>
      </c>
      <c r="E19" s="218">
        <v>15.098544376513454</v>
      </c>
      <c r="F19" s="218">
        <v>10.251574888939318</v>
      </c>
      <c r="G19" s="218">
        <v>8.0727831663859977</v>
      </c>
      <c r="H19" s="218">
        <v>6.0196886357289285</v>
      </c>
      <c r="I19" s="218">
        <v>5.7940677141907964</v>
      </c>
      <c r="J19" s="218">
        <v>10.050948856637735</v>
      </c>
    </row>
    <row r="20" spans="1:10" ht="14.1" customHeight="1" x14ac:dyDescent="0.3">
      <c r="A20" s="594"/>
      <c r="B20" s="215" t="s">
        <v>63</v>
      </c>
      <c r="C20" s="218">
        <v>17.14515638905964</v>
      </c>
      <c r="D20" s="218">
        <v>16.34260498101786</v>
      </c>
      <c r="E20" s="218">
        <v>13.690044972012686</v>
      </c>
      <c r="F20" s="218">
        <v>14.534321160144129</v>
      </c>
      <c r="G20" s="218">
        <v>10.329064163956863</v>
      </c>
      <c r="H20" s="218">
        <v>7.5412417002400698</v>
      </c>
      <c r="I20" s="218">
        <v>4.9268945451141111</v>
      </c>
      <c r="J20" s="218">
        <v>11.489304728112625</v>
      </c>
    </row>
    <row r="21" spans="1:10" ht="14.1" customHeight="1" x14ac:dyDescent="0.3">
      <c r="A21" s="594"/>
      <c r="B21" s="215" t="s">
        <v>64</v>
      </c>
      <c r="C21" s="218">
        <v>16.70769911137781</v>
      </c>
      <c r="D21" s="218">
        <v>15.759632510477168</v>
      </c>
      <c r="E21" s="218">
        <v>12.787784177133702</v>
      </c>
      <c r="F21" s="218">
        <v>13.332239742197954</v>
      </c>
      <c r="G21" s="218">
        <v>11.054677041773118</v>
      </c>
      <c r="H21" s="218">
        <v>7.1147235531749757</v>
      </c>
      <c r="I21" s="218">
        <v>4.4506249281035668</v>
      </c>
      <c r="J21" s="218">
        <v>10.759007138854402</v>
      </c>
    </row>
    <row r="22" spans="1:10" ht="14.1" customHeight="1" thickBot="1" x14ac:dyDescent="0.35">
      <c r="A22" s="596"/>
      <c r="B22" s="216" t="s">
        <v>65</v>
      </c>
      <c r="C22" s="219">
        <v>19.25347572630432</v>
      </c>
      <c r="D22" s="219">
        <v>16.327923679976944</v>
      </c>
      <c r="E22" s="219">
        <v>14.184390064910083</v>
      </c>
      <c r="F22" s="219">
        <v>13.693383725932085</v>
      </c>
      <c r="G22" s="219">
        <v>11.792292229736926</v>
      </c>
      <c r="H22" s="219">
        <v>9.5339556079002694</v>
      </c>
      <c r="I22" s="219">
        <v>7.2593284267738616</v>
      </c>
      <c r="J22" s="219">
        <v>12.519467183104089</v>
      </c>
    </row>
    <row r="23" spans="1:10" ht="15" thickTop="1" x14ac:dyDescent="0.3">
      <c r="A23" s="623" t="s">
        <v>220</v>
      </c>
      <c r="B23" s="624"/>
      <c r="C23" s="624"/>
      <c r="D23" s="624"/>
      <c r="E23" s="624"/>
      <c r="F23" s="624"/>
      <c r="G23" s="624"/>
      <c r="H23" s="624"/>
      <c r="I23" s="624"/>
      <c r="J23" s="624"/>
    </row>
    <row r="25" spans="1:10" ht="57" customHeight="1" thickBot="1" x14ac:dyDescent="0.35">
      <c r="A25" s="622" t="s">
        <v>252</v>
      </c>
      <c r="B25" s="622"/>
      <c r="C25" s="622"/>
      <c r="D25" s="622"/>
      <c r="E25" s="622"/>
      <c r="F25" s="622"/>
      <c r="G25" s="622"/>
      <c r="H25" s="622"/>
      <c r="I25" s="622"/>
      <c r="J25" s="622"/>
    </row>
    <row r="26" spans="1:10" ht="15.6" thickTop="1" thickBot="1" x14ac:dyDescent="0.35">
      <c r="A26" s="625" t="s">
        <v>212</v>
      </c>
      <c r="B26" s="625"/>
      <c r="C26" s="237" t="s">
        <v>239</v>
      </c>
      <c r="D26" s="237" t="s">
        <v>240</v>
      </c>
      <c r="E26" s="237" t="s">
        <v>241</v>
      </c>
      <c r="F26" s="237" t="s">
        <v>235</v>
      </c>
      <c r="G26" s="237" t="s">
        <v>236</v>
      </c>
      <c r="H26" s="237" t="s">
        <v>242</v>
      </c>
      <c r="I26" s="549" t="s">
        <v>238</v>
      </c>
      <c r="J26" s="237" t="s">
        <v>120</v>
      </c>
    </row>
    <row r="27" spans="1:10" ht="14.1" customHeight="1" thickTop="1" x14ac:dyDescent="0.3">
      <c r="A27" s="589" t="s">
        <v>217</v>
      </c>
      <c r="B27" s="214" t="s">
        <v>61</v>
      </c>
      <c r="C27" s="217">
        <v>23.324701167945264</v>
      </c>
      <c r="D27" s="217">
        <v>12.241904437762411</v>
      </c>
      <c r="E27" s="217">
        <v>12.24747588693147</v>
      </c>
      <c r="F27" s="217">
        <v>17.163474415993942</v>
      </c>
      <c r="G27" s="217">
        <v>8.3805845317773233</v>
      </c>
      <c r="H27" s="217">
        <v>12.735761839308724</v>
      </c>
      <c r="I27" s="217">
        <v>13.906097720280824</v>
      </c>
      <c r="J27" s="217">
        <v>100</v>
      </c>
    </row>
    <row r="28" spans="1:10" ht="14.1" customHeight="1" x14ac:dyDescent="0.3">
      <c r="A28" s="590"/>
      <c r="B28" s="215" t="s">
        <v>62</v>
      </c>
      <c r="C28" s="218">
        <v>22.650431975666422</v>
      </c>
      <c r="D28" s="218">
        <v>11.100311504991014</v>
      </c>
      <c r="E28" s="218">
        <v>17.114447263781397</v>
      </c>
      <c r="F28" s="218">
        <v>16.318494025038632</v>
      </c>
      <c r="G28" s="218">
        <v>11.412183642435249</v>
      </c>
      <c r="H28" s="218">
        <v>9.0580868439422737</v>
      </c>
      <c r="I28" s="218">
        <v>12.346044744144145</v>
      </c>
      <c r="J28" s="218">
        <v>100</v>
      </c>
    </row>
    <row r="29" spans="1:10" ht="14.1" customHeight="1" x14ac:dyDescent="0.3">
      <c r="A29" s="590"/>
      <c r="B29" s="215" t="s">
        <v>63</v>
      </c>
      <c r="C29" s="218">
        <v>24.16318708810358</v>
      </c>
      <c r="D29" s="218">
        <v>10.381882525172632</v>
      </c>
      <c r="E29" s="218">
        <v>12.358094977155657</v>
      </c>
      <c r="F29" s="218">
        <v>20.681426577226166</v>
      </c>
      <c r="G29" s="218">
        <v>15.819279589000287</v>
      </c>
      <c r="H29" s="218">
        <v>11.287502778394852</v>
      </c>
      <c r="I29" s="218">
        <v>5.3086264649465464</v>
      </c>
      <c r="J29" s="218">
        <v>100</v>
      </c>
    </row>
    <row r="30" spans="1:10" ht="14.1" customHeight="1" x14ac:dyDescent="0.3">
      <c r="A30" s="590"/>
      <c r="B30" s="215" t="s">
        <v>64</v>
      </c>
      <c r="C30" s="218">
        <v>21.900327328407013</v>
      </c>
      <c r="D30" s="218">
        <v>13.42942057499061</v>
      </c>
      <c r="E30" s="218">
        <v>11.657943381475731</v>
      </c>
      <c r="F30" s="218">
        <v>21.359242437155814</v>
      </c>
      <c r="G30" s="218">
        <v>13.158354393386535</v>
      </c>
      <c r="H30" s="218">
        <v>12.491169948585359</v>
      </c>
      <c r="I30" s="218">
        <v>6.0035419359990714</v>
      </c>
      <c r="J30" s="218">
        <v>100</v>
      </c>
    </row>
    <row r="31" spans="1:10" ht="14.1" customHeight="1" x14ac:dyDescent="0.3">
      <c r="A31" s="590"/>
      <c r="B31" s="215" t="s">
        <v>65</v>
      </c>
      <c r="C31" s="218">
        <v>20.385532770724975</v>
      </c>
      <c r="D31" s="218">
        <v>12.681366232323709</v>
      </c>
      <c r="E31" s="218">
        <v>10.796514332637994</v>
      </c>
      <c r="F31" s="218">
        <v>16.903678548914165</v>
      </c>
      <c r="G31" s="218">
        <v>16.621027580214587</v>
      </c>
      <c r="H31" s="218">
        <v>11.892907538684511</v>
      </c>
      <c r="I31" s="218">
        <v>10.718972996499199</v>
      </c>
      <c r="J31" s="218">
        <v>100</v>
      </c>
    </row>
    <row r="32" spans="1:10" ht="14.1" customHeight="1" x14ac:dyDescent="0.3">
      <c r="A32" s="591" t="s">
        <v>218</v>
      </c>
      <c r="B32" s="226" t="s">
        <v>61</v>
      </c>
      <c r="C32" s="227">
        <v>18.937622263600183</v>
      </c>
      <c r="D32" s="227">
        <v>14.344949779506591</v>
      </c>
      <c r="E32" s="227">
        <v>13.858810394184044</v>
      </c>
      <c r="F32" s="227">
        <v>25.657570409691022</v>
      </c>
      <c r="G32" s="227">
        <v>4.5213863224697208</v>
      </c>
      <c r="H32" s="227">
        <v>4.9860388969679219</v>
      </c>
      <c r="I32" s="227">
        <v>17.693621933580513</v>
      </c>
      <c r="J32" s="227">
        <v>100</v>
      </c>
    </row>
    <row r="33" spans="1:10" ht="14.1" customHeight="1" x14ac:dyDescent="0.3">
      <c r="A33" s="590"/>
      <c r="B33" s="215" t="s">
        <v>62</v>
      </c>
      <c r="C33" s="218">
        <v>26.77513821157731</v>
      </c>
      <c r="D33" s="218">
        <v>11.723718108622394</v>
      </c>
      <c r="E33" s="218">
        <v>16.135157462222356</v>
      </c>
      <c r="F33" s="218">
        <v>17.908918828962886</v>
      </c>
      <c r="G33" s="218">
        <v>9.1910514665249412</v>
      </c>
      <c r="H33" s="218">
        <v>5.1532895284324471</v>
      </c>
      <c r="I33" s="218">
        <v>13.112726393657686</v>
      </c>
      <c r="J33" s="218">
        <v>100</v>
      </c>
    </row>
    <row r="34" spans="1:10" ht="14.1" customHeight="1" x14ac:dyDescent="0.3">
      <c r="A34" s="590"/>
      <c r="B34" s="215" t="s">
        <v>63</v>
      </c>
      <c r="C34" s="218">
        <v>29.29481404672633</v>
      </c>
      <c r="D34" s="218">
        <v>12.61969461138295</v>
      </c>
      <c r="E34" s="218">
        <v>13.46078016412387</v>
      </c>
      <c r="F34" s="218">
        <v>22.698298467180464</v>
      </c>
      <c r="G34" s="218">
        <v>9.9322181993715066</v>
      </c>
      <c r="H34" s="218">
        <v>4.0492463701535417</v>
      </c>
      <c r="I34" s="218">
        <v>7.9449481410611558</v>
      </c>
      <c r="J34" s="218">
        <v>100</v>
      </c>
    </row>
    <row r="35" spans="1:10" ht="14.1" customHeight="1" x14ac:dyDescent="0.3">
      <c r="A35" s="590"/>
      <c r="B35" s="215" t="s">
        <v>64</v>
      </c>
      <c r="C35" s="218">
        <v>23.233954312051956</v>
      </c>
      <c r="D35" s="218">
        <v>9.7849837889694875</v>
      </c>
      <c r="E35" s="218">
        <v>12.658934445736755</v>
      </c>
      <c r="F35" s="218">
        <v>24.83201834073774</v>
      </c>
      <c r="G35" s="218">
        <v>16.804041262845477</v>
      </c>
      <c r="H35" s="218">
        <v>4.5495972963669757</v>
      </c>
      <c r="I35" s="218">
        <v>8.1364705532915185</v>
      </c>
      <c r="J35" s="218">
        <v>100</v>
      </c>
    </row>
    <row r="36" spans="1:10" ht="14.1" customHeight="1" x14ac:dyDescent="0.3">
      <c r="A36" s="592"/>
      <c r="B36" s="222" t="s">
        <v>65</v>
      </c>
      <c r="C36" s="223">
        <v>25.439357145347486</v>
      </c>
      <c r="D36" s="223">
        <v>20.113567505455443</v>
      </c>
      <c r="E36" s="223">
        <v>9.7403416111389323</v>
      </c>
      <c r="F36" s="223">
        <v>19.118467079381251</v>
      </c>
      <c r="G36" s="223">
        <v>11.238575343366723</v>
      </c>
      <c r="H36" s="223">
        <v>5.2638260330494262</v>
      </c>
      <c r="I36" s="223">
        <v>9.0858652822607606</v>
      </c>
      <c r="J36" s="223">
        <v>100</v>
      </c>
    </row>
    <row r="37" spans="1:10" ht="14.1" customHeight="1" x14ac:dyDescent="0.3">
      <c r="A37" s="593" t="s">
        <v>163</v>
      </c>
      <c r="B37" s="220" t="s">
        <v>61</v>
      </c>
      <c r="C37" s="221">
        <v>25.827687847295245</v>
      </c>
      <c r="D37" s="221">
        <v>16.488638204109684</v>
      </c>
      <c r="E37" s="221">
        <v>12.438286920454072</v>
      </c>
      <c r="F37" s="221">
        <v>19.339865003751324</v>
      </c>
      <c r="G37" s="221">
        <v>8.1008044108738808</v>
      </c>
      <c r="H37" s="221">
        <v>8.317703861248992</v>
      </c>
      <c r="I37" s="221">
        <v>9.4870137522669911</v>
      </c>
      <c r="J37" s="221">
        <v>100</v>
      </c>
    </row>
    <row r="38" spans="1:10" ht="14.1" customHeight="1" x14ac:dyDescent="0.3">
      <c r="A38" s="594"/>
      <c r="B38" s="215" t="s">
        <v>62</v>
      </c>
      <c r="C38" s="218">
        <v>25.259665016433409</v>
      </c>
      <c r="D38" s="218">
        <v>13.195921089849108</v>
      </c>
      <c r="E38" s="218">
        <v>20.852619067664129</v>
      </c>
      <c r="F38" s="218">
        <v>16.389086120701062</v>
      </c>
      <c r="G38" s="218">
        <v>11.083601858878572</v>
      </c>
      <c r="H38" s="218">
        <v>6.9402252930627402</v>
      </c>
      <c r="I38" s="218">
        <v>6.2788815534109155</v>
      </c>
      <c r="J38" s="218">
        <v>100</v>
      </c>
    </row>
    <row r="39" spans="1:10" ht="14.1" customHeight="1" x14ac:dyDescent="0.3">
      <c r="A39" s="594"/>
      <c r="B39" s="215" t="s">
        <v>63</v>
      </c>
      <c r="C39" s="218">
        <v>27.191389051957831</v>
      </c>
      <c r="D39" s="218">
        <v>12.233525537072765</v>
      </c>
      <c r="E39" s="218">
        <v>13.937765807453495</v>
      </c>
      <c r="F39" s="218">
        <v>22.754745817594017</v>
      </c>
      <c r="G39" s="218">
        <v>12.703200859756333</v>
      </c>
      <c r="H39" s="218">
        <v>8.4765323742243144</v>
      </c>
      <c r="I39" s="218">
        <v>2.7028405519413097</v>
      </c>
      <c r="J39" s="218">
        <v>100</v>
      </c>
    </row>
    <row r="40" spans="1:10" ht="14.1" customHeight="1" x14ac:dyDescent="0.3">
      <c r="A40" s="594"/>
      <c r="B40" s="215" t="s">
        <v>64</v>
      </c>
      <c r="C40" s="218">
        <v>24.184930155804064</v>
      </c>
      <c r="D40" s="218">
        <v>14.524916016870277</v>
      </c>
      <c r="E40" s="218">
        <v>12.825899999951643</v>
      </c>
      <c r="F40" s="218">
        <v>21.64728681461337</v>
      </c>
      <c r="G40" s="218">
        <v>12.680937132456146</v>
      </c>
      <c r="H40" s="218">
        <v>9.8827575063967039</v>
      </c>
      <c r="I40" s="218">
        <v>4.2532723739079366</v>
      </c>
      <c r="J40" s="218">
        <v>100</v>
      </c>
    </row>
    <row r="41" spans="1:10" ht="14.1" customHeight="1" thickBot="1" x14ac:dyDescent="0.35">
      <c r="A41" s="594"/>
      <c r="B41" s="224" t="s">
        <v>65</v>
      </c>
      <c r="C41" s="225">
        <v>24.161419334147492</v>
      </c>
      <c r="D41" s="225">
        <v>14.907254881714916</v>
      </c>
      <c r="E41" s="225">
        <v>10.883862834748426</v>
      </c>
      <c r="F41" s="225">
        <v>18.186936842825329</v>
      </c>
      <c r="G41" s="225">
        <v>14.931640756836547</v>
      </c>
      <c r="H41" s="225">
        <v>9.802021683701108</v>
      </c>
      <c r="I41" s="225">
        <v>7.126863666027015</v>
      </c>
      <c r="J41" s="225">
        <v>100</v>
      </c>
    </row>
    <row r="42" spans="1:10" ht="14.1" customHeight="1" x14ac:dyDescent="0.3">
      <c r="A42" s="595" t="s">
        <v>219</v>
      </c>
      <c r="B42" s="215" t="s">
        <v>61</v>
      </c>
      <c r="C42" s="218">
        <v>23.198323307371609</v>
      </c>
      <c r="D42" s="218">
        <v>13.724500748985749</v>
      </c>
      <c r="E42" s="218">
        <v>11.244989407838665</v>
      </c>
      <c r="F42" s="218">
        <v>20.543613387462834</v>
      </c>
      <c r="G42" s="218">
        <v>9.6814094045147279</v>
      </c>
      <c r="H42" s="218">
        <v>8.0684531961133334</v>
      </c>
      <c r="I42" s="218">
        <v>13.538710547713093</v>
      </c>
      <c r="J42" s="218">
        <v>100</v>
      </c>
    </row>
    <row r="43" spans="1:10" ht="14.1" customHeight="1" x14ac:dyDescent="0.3">
      <c r="A43" s="594"/>
      <c r="B43" s="215" t="s">
        <v>62</v>
      </c>
      <c r="C43" s="218">
        <v>19.652001312391974</v>
      </c>
      <c r="D43" s="218">
        <v>13.61750318262906</v>
      </c>
      <c r="E43" s="218">
        <v>18.988983839661604</v>
      </c>
      <c r="F43" s="218">
        <v>16.240871825914212</v>
      </c>
      <c r="G43" s="218">
        <v>13.052114275252025</v>
      </c>
      <c r="H43" s="218">
        <v>7.306582483882754</v>
      </c>
      <c r="I43" s="218">
        <v>11.141943080267227</v>
      </c>
      <c r="J43" s="218">
        <v>100</v>
      </c>
    </row>
    <row r="44" spans="1:10" ht="14.1" customHeight="1" x14ac:dyDescent="0.3">
      <c r="A44" s="594"/>
      <c r="B44" s="215" t="s">
        <v>63</v>
      </c>
      <c r="C44" s="218">
        <v>21.517687457580394</v>
      </c>
      <c r="D44" s="218">
        <v>11.813369052873851</v>
      </c>
      <c r="E44" s="218">
        <v>14.07652244180062</v>
      </c>
      <c r="F44" s="218">
        <v>21.139479392759235</v>
      </c>
      <c r="G44" s="218">
        <v>14.475825379762547</v>
      </c>
      <c r="H44" s="218">
        <v>8.5853299866681994</v>
      </c>
      <c r="I44" s="218">
        <v>8.3917862885551386</v>
      </c>
      <c r="J44" s="218">
        <v>100</v>
      </c>
    </row>
    <row r="45" spans="1:10" ht="14.1" customHeight="1" x14ac:dyDescent="0.3">
      <c r="A45" s="594"/>
      <c r="B45" s="215" t="s">
        <v>64</v>
      </c>
      <c r="C45" s="218">
        <v>20.433547463666947</v>
      </c>
      <c r="D45" s="218">
        <v>13.341197262176705</v>
      </c>
      <c r="E45" s="218">
        <v>12.351584227519146</v>
      </c>
      <c r="F45" s="218">
        <v>19.252835182240574</v>
      </c>
      <c r="G45" s="218">
        <v>16.058916144383005</v>
      </c>
      <c r="H45" s="218">
        <v>9.6071765063658052</v>
      </c>
      <c r="I45" s="218">
        <v>8.95474321364782</v>
      </c>
      <c r="J45" s="218">
        <v>100</v>
      </c>
    </row>
    <row r="46" spans="1:10" ht="14.1" customHeight="1" thickBot="1" x14ac:dyDescent="0.35">
      <c r="A46" s="596"/>
      <c r="B46" s="216" t="s">
        <v>65</v>
      </c>
      <c r="C46" s="219">
        <v>21.698246413073083</v>
      </c>
      <c r="D46" s="219">
        <v>11.296799005146653</v>
      </c>
      <c r="E46" s="219">
        <v>11.10220482805145</v>
      </c>
      <c r="F46" s="219">
        <v>17.851879709361906</v>
      </c>
      <c r="G46" s="219">
        <v>14.998436052341033</v>
      </c>
      <c r="H46" s="219">
        <v>11.109659603912633</v>
      </c>
      <c r="I46" s="219">
        <v>11.942774388112769</v>
      </c>
      <c r="J46" s="219">
        <v>100</v>
      </c>
    </row>
    <row r="47" spans="1:10" ht="15" thickTop="1" x14ac:dyDescent="0.3">
      <c r="A47" s="623" t="s">
        <v>220</v>
      </c>
      <c r="B47" s="624"/>
      <c r="C47" s="624"/>
      <c r="D47" s="624"/>
      <c r="E47" s="624"/>
      <c r="F47" s="624"/>
      <c r="G47" s="624"/>
      <c r="H47" s="624"/>
      <c r="I47" s="624"/>
      <c r="J47" s="624"/>
    </row>
  </sheetData>
  <mergeCells count="14">
    <mergeCell ref="A37:A41"/>
    <mergeCell ref="A42:A46"/>
    <mergeCell ref="A47:J47"/>
    <mergeCell ref="A2:B2"/>
    <mergeCell ref="A26:B26"/>
    <mergeCell ref="A18:A22"/>
    <mergeCell ref="A23:J23"/>
    <mergeCell ref="A25:J25"/>
    <mergeCell ref="A27:A31"/>
    <mergeCell ref="A1:J1"/>
    <mergeCell ref="A3:A7"/>
    <mergeCell ref="A8:A12"/>
    <mergeCell ref="A13:A17"/>
    <mergeCell ref="A32:A3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zoomScale="110" zoomScaleNormal="110" workbookViewId="0">
      <selection sqref="A1:E1"/>
    </sheetView>
  </sheetViews>
  <sheetFormatPr baseColWidth="10" defaultColWidth="9.109375" defaultRowHeight="14.4" x14ac:dyDescent="0.3"/>
  <cols>
    <col min="1" max="1" width="21.109375" customWidth="1"/>
    <col min="2" max="2" width="11.88671875" customWidth="1"/>
    <col min="3" max="5" width="13" customWidth="1"/>
  </cols>
  <sheetData>
    <row r="1" spans="1:5" ht="68.099999999999994" customHeight="1" thickBot="1" x14ac:dyDescent="0.35">
      <c r="A1" s="629" t="s">
        <v>255</v>
      </c>
      <c r="B1" s="628"/>
      <c r="C1" s="628"/>
      <c r="D1" s="628"/>
      <c r="E1" s="628"/>
    </row>
    <row r="2" spans="1:5" ht="21" customHeight="1" thickTop="1" thickBot="1" x14ac:dyDescent="0.35">
      <c r="A2" s="627" t="s">
        <v>212</v>
      </c>
      <c r="B2" s="627"/>
      <c r="C2" s="238" t="s">
        <v>243</v>
      </c>
      <c r="D2" s="238" t="s">
        <v>244</v>
      </c>
      <c r="E2" s="238" t="s">
        <v>120</v>
      </c>
    </row>
    <row r="3" spans="1:5" ht="14.1" customHeight="1" thickTop="1" x14ac:dyDescent="0.3">
      <c r="A3" s="589" t="s">
        <v>217</v>
      </c>
      <c r="B3" s="214" t="s">
        <v>61</v>
      </c>
      <c r="C3" s="217">
        <v>4.4292989813024723</v>
      </c>
      <c r="D3" s="217">
        <v>28.452016086429303</v>
      </c>
      <c r="E3" s="217">
        <v>5.6639020932687929</v>
      </c>
    </row>
    <row r="4" spans="1:5" ht="14.1" customHeight="1" x14ac:dyDescent="0.3">
      <c r="A4" s="590"/>
      <c r="B4" s="215" t="s">
        <v>62</v>
      </c>
      <c r="C4" s="218">
        <v>5.2911237634588204</v>
      </c>
      <c r="D4" s="218">
        <v>34.258927152867336</v>
      </c>
      <c r="E4" s="218">
        <v>7.2624365667372803</v>
      </c>
    </row>
    <row r="5" spans="1:5" ht="14.1" customHeight="1" x14ac:dyDescent="0.3">
      <c r="A5" s="590"/>
      <c r="B5" s="215" t="s">
        <v>63</v>
      </c>
      <c r="C5" s="218">
        <v>6.3862869531637863</v>
      </c>
      <c r="D5" s="218">
        <v>36.607324186091141</v>
      </c>
      <c r="E5" s="218">
        <v>8.1798432395376111</v>
      </c>
    </row>
    <row r="6" spans="1:5" ht="14.1" customHeight="1" x14ac:dyDescent="0.3">
      <c r="A6" s="590"/>
      <c r="B6" s="215" t="s">
        <v>64</v>
      </c>
      <c r="C6" s="218">
        <v>5.2996448986157345</v>
      </c>
      <c r="D6" s="218">
        <v>34.317908665966236</v>
      </c>
      <c r="E6" s="218">
        <v>7.0529277112487119</v>
      </c>
    </row>
    <row r="7" spans="1:5" ht="14.1" customHeight="1" x14ac:dyDescent="0.3">
      <c r="A7" s="590"/>
      <c r="B7" s="215" t="s">
        <v>65</v>
      </c>
      <c r="C7" s="218">
        <v>6.054815248136002</v>
      </c>
      <c r="D7" s="218">
        <v>33.64041722290164</v>
      </c>
      <c r="E7" s="218">
        <v>7.9809125852288147</v>
      </c>
    </row>
    <row r="8" spans="1:5" ht="14.1" customHeight="1" x14ac:dyDescent="0.3">
      <c r="A8" s="591" t="s">
        <v>218</v>
      </c>
      <c r="B8" s="226" t="s">
        <v>61</v>
      </c>
      <c r="C8" s="227">
        <v>1.4242229025767541</v>
      </c>
      <c r="D8" s="227">
        <v>3.4065357909424643</v>
      </c>
      <c r="E8" s="227">
        <v>1.5261002068865537</v>
      </c>
    </row>
    <row r="9" spans="1:5" ht="14.1" customHeight="1" x14ac:dyDescent="0.3">
      <c r="A9" s="590"/>
      <c r="B9" s="215" t="s">
        <v>62</v>
      </c>
      <c r="C9" s="218">
        <v>1.2113760665096371</v>
      </c>
      <c r="D9" s="218">
        <v>4.4545523847713566</v>
      </c>
      <c r="E9" s="218">
        <v>1.4320802363610572</v>
      </c>
    </row>
    <row r="10" spans="1:5" ht="14.1" customHeight="1" x14ac:dyDescent="0.3">
      <c r="A10" s="590"/>
      <c r="B10" s="215" t="s">
        <v>63</v>
      </c>
      <c r="C10" s="218">
        <v>1.1654400258298478</v>
      </c>
      <c r="D10" s="218">
        <v>15.165168718931344</v>
      </c>
      <c r="E10" s="218">
        <v>1.9962950759564029</v>
      </c>
    </row>
    <row r="11" spans="1:5" ht="14.1" customHeight="1" x14ac:dyDescent="0.3">
      <c r="A11" s="590"/>
      <c r="B11" s="215" t="s">
        <v>64</v>
      </c>
      <c r="C11" s="218">
        <v>1.3949853327450885</v>
      </c>
      <c r="D11" s="218">
        <v>4.6930732627071503</v>
      </c>
      <c r="E11" s="218">
        <v>1.5942557277113416</v>
      </c>
    </row>
    <row r="12" spans="1:5" ht="14.1" customHeight="1" x14ac:dyDescent="0.3">
      <c r="A12" s="592"/>
      <c r="B12" s="222" t="s">
        <v>65</v>
      </c>
      <c r="C12" s="223">
        <v>0.45916520385651838</v>
      </c>
      <c r="D12" s="223">
        <v>6.8045666927340305</v>
      </c>
      <c r="E12" s="223">
        <v>0.90221737729435869</v>
      </c>
    </row>
    <row r="13" spans="1:5" ht="14.1" customHeight="1" x14ac:dyDescent="0.3">
      <c r="A13" s="593" t="s">
        <v>163</v>
      </c>
      <c r="B13" s="220" t="s">
        <v>61</v>
      </c>
      <c r="C13" s="221">
        <v>2.8959973495367031</v>
      </c>
      <c r="D13" s="221">
        <v>27.66450525113731</v>
      </c>
      <c r="E13" s="221">
        <v>4.1689290000348063</v>
      </c>
    </row>
    <row r="14" spans="1:5" ht="14.1" customHeight="1" x14ac:dyDescent="0.3">
      <c r="A14" s="594"/>
      <c r="B14" s="215" t="s">
        <v>62</v>
      </c>
      <c r="C14" s="218">
        <v>3.3342832421307347</v>
      </c>
      <c r="D14" s="218">
        <v>31.962247785238311</v>
      </c>
      <c r="E14" s="218">
        <v>5.2824693809617385</v>
      </c>
    </row>
    <row r="15" spans="1:5" ht="14.1" customHeight="1" x14ac:dyDescent="0.3">
      <c r="A15" s="594"/>
      <c r="B15" s="215" t="s">
        <v>63</v>
      </c>
      <c r="C15" s="218">
        <v>3.9917838286778347</v>
      </c>
      <c r="D15" s="218">
        <v>36.198674386915982</v>
      </c>
      <c r="E15" s="218">
        <v>5.9031964178640015</v>
      </c>
    </row>
    <row r="16" spans="1:5" ht="14.1" customHeight="1" x14ac:dyDescent="0.3">
      <c r="A16" s="594"/>
      <c r="B16" s="215" t="s">
        <v>64</v>
      </c>
      <c r="C16" s="218">
        <v>4.1173043949808115</v>
      </c>
      <c r="D16" s="218">
        <v>30.652928171717953</v>
      </c>
      <c r="E16" s="218">
        <v>5.7205861579164168</v>
      </c>
    </row>
    <row r="17" spans="1:5" ht="14.1" customHeight="1" thickBot="1" x14ac:dyDescent="0.35">
      <c r="A17" s="594"/>
      <c r="B17" s="224" t="s">
        <v>65</v>
      </c>
      <c r="C17" s="225">
        <v>4.2177600862416229</v>
      </c>
      <c r="D17" s="225">
        <v>30.689076878679845</v>
      </c>
      <c r="E17" s="225">
        <v>6.0660551798158995</v>
      </c>
    </row>
    <row r="18" spans="1:5" ht="14.1" customHeight="1" x14ac:dyDescent="0.3">
      <c r="A18" s="595" t="s">
        <v>219</v>
      </c>
      <c r="B18" s="215" t="s">
        <v>61</v>
      </c>
      <c r="C18" s="218">
        <v>6.4431898188247949</v>
      </c>
      <c r="D18" s="218">
        <v>39.923029335016558</v>
      </c>
      <c r="E18" s="218">
        <v>8.1638242447283194</v>
      </c>
    </row>
    <row r="19" spans="1:5" ht="14.1" customHeight="1" x14ac:dyDescent="0.3">
      <c r="A19" s="594"/>
      <c r="B19" s="215" t="s">
        <v>62</v>
      </c>
      <c r="C19" s="218">
        <v>7.058063198934315</v>
      </c>
      <c r="D19" s="218">
        <v>51.037548928013834</v>
      </c>
      <c r="E19" s="218">
        <v>10.050948856637735</v>
      </c>
    </row>
    <row r="20" spans="1:5" ht="14.1" customHeight="1" x14ac:dyDescent="0.3">
      <c r="A20" s="594"/>
      <c r="B20" s="215" t="s">
        <v>63</v>
      </c>
      <c r="C20" s="218">
        <v>8.8284449733750527</v>
      </c>
      <c r="D20" s="218">
        <v>53.663358898547806</v>
      </c>
      <c r="E20" s="218">
        <v>11.489304728112625</v>
      </c>
    </row>
    <row r="21" spans="1:5" ht="14.1" customHeight="1" x14ac:dyDescent="0.3">
      <c r="A21" s="594"/>
      <c r="B21" s="215" t="s">
        <v>64</v>
      </c>
      <c r="C21" s="218">
        <v>8.5793050899568311</v>
      </c>
      <c r="D21" s="218">
        <v>44.655155793219564</v>
      </c>
      <c r="E21" s="218">
        <v>10.759007138854402</v>
      </c>
    </row>
    <row r="22" spans="1:5" ht="14.1" customHeight="1" thickBot="1" x14ac:dyDescent="0.35">
      <c r="A22" s="596"/>
      <c r="B22" s="216" t="s">
        <v>65</v>
      </c>
      <c r="C22" s="219">
        <v>9.1909153949163969</v>
      </c>
      <c r="D22" s="219">
        <v>56.862496167638831</v>
      </c>
      <c r="E22" s="219">
        <v>12.519467183104089</v>
      </c>
    </row>
    <row r="23" spans="1:5" ht="11.1" customHeight="1" thickTop="1" x14ac:dyDescent="0.3">
      <c r="A23" s="626" t="s">
        <v>220</v>
      </c>
      <c r="B23" s="626"/>
      <c r="C23" s="626"/>
      <c r="D23" s="626"/>
      <c r="E23" s="626"/>
    </row>
    <row r="25" spans="1:5" ht="68.099999999999994" customHeight="1" thickBot="1" x14ac:dyDescent="0.35">
      <c r="A25" s="628" t="s">
        <v>254</v>
      </c>
      <c r="B25" s="628"/>
      <c r="C25" s="628"/>
      <c r="D25" s="628"/>
      <c r="E25" s="628"/>
    </row>
    <row r="26" spans="1:5" ht="21" customHeight="1" thickTop="1" thickBot="1" x14ac:dyDescent="0.35">
      <c r="A26" s="627" t="s">
        <v>212</v>
      </c>
      <c r="B26" s="627"/>
      <c r="C26" s="238" t="s">
        <v>243</v>
      </c>
      <c r="D26" s="238" t="s">
        <v>244</v>
      </c>
      <c r="E26" s="238" t="s">
        <v>120</v>
      </c>
    </row>
    <row r="27" spans="1:5" ht="14.1" customHeight="1" thickTop="1" x14ac:dyDescent="0.3">
      <c r="A27" s="589" t="s">
        <v>217</v>
      </c>
      <c r="B27" s="214" t="s">
        <v>61</v>
      </c>
      <c r="C27" s="217">
        <v>74.183191793000873</v>
      </c>
      <c r="D27" s="217">
        <v>25.816808206998999</v>
      </c>
      <c r="E27" s="217">
        <v>100</v>
      </c>
    </row>
    <row r="28" spans="1:5" ht="14.1" customHeight="1" x14ac:dyDescent="0.3">
      <c r="A28" s="590"/>
      <c r="B28" s="215" t="s">
        <v>62</v>
      </c>
      <c r="C28" s="218">
        <v>67.898052153132497</v>
      </c>
      <c r="D28" s="218">
        <v>32.101947846866757</v>
      </c>
      <c r="E28" s="218">
        <v>100</v>
      </c>
    </row>
    <row r="29" spans="1:5" ht="14.1" customHeight="1" x14ac:dyDescent="0.3">
      <c r="A29" s="590"/>
      <c r="B29" s="215" t="s">
        <v>63</v>
      </c>
      <c r="C29" s="218">
        <v>73.439964631906776</v>
      </c>
      <c r="D29" s="218">
        <v>26.560035368092887</v>
      </c>
      <c r="E29" s="218">
        <v>100</v>
      </c>
    </row>
    <row r="30" spans="1:5" ht="14.1" customHeight="1" x14ac:dyDescent="0.3">
      <c r="A30" s="590"/>
      <c r="B30" s="215" t="s">
        <v>64</v>
      </c>
      <c r="C30" s="218">
        <v>70.601042328198972</v>
      </c>
      <c r="D30" s="218">
        <v>29.398957671801078</v>
      </c>
      <c r="E30" s="218">
        <v>100</v>
      </c>
    </row>
    <row r="31" spans="1:5" ht="14.1" customHeight="1" x14ac:dyDescent="0.3">
      <c r="A31" s="590"/>
      <c r="B31" s="215" t="s">
        <v>65</v>
      </c>
      <c r="C31" s="218">
        <v>70.569029414327446</v>
      </c>
      <c r="D31" s="218">
        <v>29.430970585671513</v>
      </c>
      <c r="E31" s="218">
        <v>100</v>
      </c>
    </row>
    <row r="32" spans="1:5" ht="14.1" customHeight="1" x14ac:dyDescent="0.3">
      <c r="A32" s="591" t="s">
        <v>218</v>
      </c>
      <c r="B32" s="226" t="s">
        <v>61</v>
      </c>
      <c r="C32" s="227">
        <v>88.528105475520832</v>
      </c>
      <c r="D32" s="227">
        <v>11.471894524479179</v>
      </c>
      <c r="E32" s="227">
        <v>100</v>
      </c>
    </row>
    <row r="33" spans="1:5" ht="14.1" customHeight="1" x14ac:dyDescent="0.3">
      <c r="A33" s="590"/>
      <c r="B33" s="215" t="s">
        <v>62</v>
      </c>
      <c r="C33" s="218">
        <v>78.832152517478107</v>
      </c>
      <c r="D33" s="218">
        <v>21.167847482521911</v>
      </c>
      <c r="E33" s="218">
        <v>100</v>
      </c>
    </row>
    <row r="34" spans="1:5" ht="14.1" customHeight="1" x14ac:dyDescent="0.3">
      <c r="A34" s="590"/>
      <c r="B34" s="215" t="s">
        <v>63</v>
      </c>
      <c r="C34" s="218">
        <v>54.915406795495571</v>
      </c>
      <c r="D34" s="218">
        <v>45.084593204504181</v>
      </c>
      <c r="E34" s="218">
        <v>100</v>
      </c>
    </row>
    <row r="35" spans="1:5" ht="14.1" customHeight="1" x14ac:dyDescent="0.3">
      <c r="A35" s="590"/>
      <c r="B35" s="215" t="s">
        <v>64</v>
      </c>
      <c r="C35" s="218">
        <v>82.213934003742423</v>
      </c>
      <c r="D35" s="218">
        <v>17.786065996257491</v>
      </c>
      <c r="E35" s="218">
        <v>100</v>
      </c>
    </row>
    <row r="36" spans="1:5" ht="14.1" customHeight="1" x14ac:dyDescent="0.3">
      <c r="A36" s="592"/>
      <c r="B36" s="222" t="s">
        <v>65</v>
      </c>
      <c r="C36" s="223">
        <v>47.339490992701592</v>
      </c>
      <c r="D36" s="223">
        <v>52.660509007298451</v>
      </c>
      <c r="E36" s="223">
        <v>100</v>
      </c>
    </row>
    <row r="37" spans="1:5" ht="14.1" customHeight="1" x14ac:dyDescent="0.3">
      <c r="A37" s="593" t="s">
        <v>163</v>
      </c>
      <c r="B37" s="220" t="s">
        <v>61</v>
      </c>
      <c r="C37" s="221">
        <v>65.896131172294005</v>
      </c>
      <c r="D37" s="221">
        <v>34.103868827706179</v>
      </c>
      <c r="E37" s="221">
        <v>100</v>
      </c>
    </row>
    <row r="38" spans="1:5" ht="14.1" customHeight="1" x14ac:dyDescent="0.3">
      <c r="A38" s="594"/>
      <c r="B38" s="215" t="s">
        <v>62</v>
      </c>
      <c r="C38" s="218">
        <v>58.82436513795777</v>
      </c>
      <c r="D38" s="218">
        <v>41.175634862042244</v>
      </c>
      <c r="E38" s="218">
        <v>100</v>
      </c>
    </row>
    <row r="39" spans="1:5" ht="14.1" customHeight="1" x14ac:dyDescent="0.3">
      <c r="A39" s="594"/>
      <c r="B39" s="215" t="s">
        <v>63</v>
      </c>
      <c r="C39" s="218">
        <v>63.607568139586277</v>
      </c>
      <c r="D39" s="218">
        <v>36.392431860414014</v>
      </c>
      <c r="E39" s="218">
        <v>100</v>
      </c>
    </row>
    <row r="40" spans="1:5" ht="14.1" customHeight="1" x14ac:dyDescent="0.3">
      <c r="A40" s="594"/>
      <c r="B40" s="215" t="s">
        <v>64</v>
      </c>
      <c r="C40" s="218">
        <v>67.624835178124016</v>
      </c>
      <c r="D40" s="218">
        <v>32.375164821876105</v>
      </c>
      <c r="E40" s="218">
        <v>100</v>
      </c>
    </row>
    <row r="41" spans="1:5" ht="14.1" customHeight="1" thickBot="1" x14ac:dyDescent="0.35">
      <c r="A41" s="594"/>
      <c r="B41" s="224" t="s">
        <v>65</v>
      </c>
      <c r="C41" s="225">
        <v>64.675726894673673</v>
      </c>
      <c r="D41" s="225">
        <v>35.324273105326974</v>
      </c>
      <c r="E41" s="225">
        <v>100</v>
      </c>
    </row>
    <row r="42" spans="1:5" ht="14.1" customHeight="1" x14ac:dyDescent="0.3">
      <c r="A42" s="595" t="s">
        <v>219</v>
      </c>
      <c r="B42" s="215" t="s">
        <v>61</v>
      </c>
      <c r="C42" s="218">
        <v>74.867535269245195</v>
      </c>
      <c r="D42" s="218">
        <v>25.132464730754613</v>
      </c>
      <c r="E42" s="218">
        <v>100</v>
      </c>
    </row>
    <row r="43" spans="1:5" ht="14.1" customHeight="1" x14ac:dyDescent="0.3">
      <c r="A43" s="594"/>
      <c r="B43" s="215" t="s">
        <v>62</v>
      </c>
      <c r="C43" s="218">
        <v>65.444058942332575</v>
      </c>
      <c r="D43" s="218">
        <v>34.555941057666658</v>
      </c>
      <c r="E43" s="218">
        <v>100</v>
      </c>
    </row>
    <row r="44" spans="1:5" ht="14.1" customHeight="1" x14ac:dyDescent="0.3">
      <c r="A44" s="594"/>
      <c r="B44" s="215" t="s">
        <v>63</v>
      </c>
      <c r="C44" s="218">
        <v>72.280221933351115</v>
      </c>
      <c r="D44" s="218">
        <v>27.719778066648924</v>
      </c>
      <c r="E44" s="218">
        <v>100</v>
      </c>
    </row>
    <row r="45" spans="1:5" ht="14.1" customHeight="1" x14ac:dyDescent="0.3">
      <c r="A45" s="594"/>
      <c r="B45" s="215" t="s">
        <v>64</v>
      </c>
      <c r="C45" s="218">
        <v>74.922746817343793</v>
      </c>
      <c r="D45" s="218">
        <v>25.0772531826562</v>
      </c>
      <c r="E45" s="218">
        <v>100</v>
      </c>
    </row>
    <row r="46" spans="1:5" ht="14.1" customHeight="1" thickBot="1" x14ac:dyDescent="0.35">
      <c r="A46" s="596"/>
      <c r="B46" s="216" t="s">
        <v>65</v>
      </c>
      <c r="C46" s="219">
        <v>68.287108646375188</v>
      </c>
      <c r="D46" s="219">
        <v>31.71289135362489</v>
      </c>
      <c r="E46" s="219">
        <v>100</v>
      </c>
    </row>
    <row r="47" spans="1:5" ht="11.1" customHeight="1" thickTop="1" x14ac:dyDescent="0.3">
      <c r="A47" s="626" t="s">
        <v>220</v>
      </c>
      <c r="B47" s="626"/>
      <c r="C47" s="626"/>
      <c r="D47" s="626"/>
      <c r="E47" s="626"/>
    </row>
  </sheetData>
  <mergeCells count="14">
    <mergeCell ref="A1:E1"/>
    <mergeCell ref="A3:A7"/>
    <mergeCell ref="A8:A12"/>
    <mergeCell ref="A13:A17"/>
    <mergeCell ref="A32:A36"/>
    <mergeCell ref="A37:A41"/>
    <mergeCell ref="A42:A46"/>
    <mergeCell ref="A47:E47"/>
    <mergeCell ref="A2:B2"/>
    <mergeCell ref="A26:B26"/>
    <mergeCell ref="A18:A22"/>
    <mergeCell ref="A23:E23"/>
    <mergeCell ref="A25:E25"/>
    <mergeCell ref="A27:A3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zoomScale="110" zoomScaleNormal="110" workbookViewId="0">
      <selection sqref="A1:E1"/>
    </sheetView>
  </sheetViews>
  <sheetFormatPr baseColWidth="10" defaultColWidth="9.109375" defaultRowHeight="14.4" x14ac:dyDescent="0.3"/>
  <cols>
    <col min="1" max="1" width="21.109375" customWidth="1"/>
    <col min="2" max="2" width="11.88671875" customWidth="1"/>
    <col min="3" max="5" width="14.33203125" customWidth="1"/>
  </cols>
  <sheetData>
    <row r="1" spans="1:5" ht="68.099999999999994" customHeight="1" thickBot="1" x14ac:dyDescent="0.35">
      <c r="A1" s="632" t="s">
        <v>256</v>
      </c>
      <c r="B1" s="632"/>
      <c r="C1" s="632"/>
      <c r="D1" s="632"/>
      <c r="E1" s="632"/>
    </row>
    <row r="2" spans="1:5" ht="21" customHeight="1" thickTop="1" thickBot="1" x14ac:dyDescent="0.35">
      <c r="A2" s="631" t="s">
        <v>212</v>
      </c>
      <c r="B2" s="631"/>
      <c r="C2" s="239" t="s">
        <v>243</v>
      </c>
      <c r="D2" s="239" t="s">
        <v>244</v>
      </c>
      <c r="E2" s="239" t="s">
        <v>120</v>
      </c>
    </row>
    <row r="3" spans="1:5" ht="14.1" customHeight="1" thickTop="1" x14ac:dyDescent="0.3">
      <c r="A3" s="633" t="s">
        <v>217</v>
      </c>
      <c r="B3" s="214" t="s">
        <v>61</v>
      </c>
      <c r="C3" s="217">
        <v>4.5657386863208087</v>
      </c>
      <c r="D3" s="217">
        <v>25.958745737854876</v>
      </c>
      <c r="E3" s="217">
        <v>5.6639020932687929</v>
      </c>
    </row>
    <row r="4" spans="1:5" ht="14.1" customHeight="1" x14ac:dyDescent="0.3">
      <c r="A4" s="590"/>
      <c r="B4" s="215" t="s">
        <v>62</v>
      </c>
      <c r="C4" s="218">
        <v>5.5769280357692654</v>
      </c>
      <c r="D4" s="218">
        <v>31.181749681541522</v>
      </c>
      <c r="E4" s="218">
        <v>7.2624365667372803</v>
      </c>
    </row>
    <row r="5" spans="1:5" ht="14.1" customHeight="1" x14ac:dyDescent="0.3">
      <c r="A5" s="590"/>
      <c r="B5" s="215" t="s">
        <v>63</v>
      </c>
      <c r="C5" s="218">
        <v>6.6518476589754254</v>
      </c>
      <c r="D5" s="218">
        <v>33.718663503736806</v>
      </c>
      <c r="E5" s="218">
        <v>8.1798432395376111</v>
      </c>
    </row>
    <row r="6" spans="1:5" ht="14.1" customHeight="1" x14ac:dyDescent="0.3">
      <c r="A6" s="590"/>
      <c r="B6" s="215" t="s">
        <v>64</v>
      </c>
      <c r="C6" s="218">
        <v>5.5864717502822163</v>
      </c>
      <c r="D6" s="218">
        <v>30.289260097961133</v>
      </c>
      <c r="E6" s="218">
        <v>7.0529277112487119</v>
      </c>
    </row>
    <row r="7" spans="1:5" ht="14.1" customHeight="1" x14ac:dyDescent="0.3">
      <c r="A7" s="590"/>
      <c r="B7" s="215" t="s">
        <v>65</v>
      </c>
      <c r="C7" s="218">
        <v>6.2138433554808472</v>
      </c>
      <c r="D7" s="218">
        <v>32.734491508231251</v>
      </c>
      <c r="E7" s="218">
        <v>7.9809125852288147</v>
      </c>
    </row>
    <row r="8" spans="1:5" ht="14.1" customHeight="1" x14ac:dyDescent="0.3">
      <c r="A8" s="591" t="s">
        <v>218</v>
      </c>
      <c r="B8" s="226" t="s">
        <v>61</v>
      </c>
      <c r="C8" s="227">
        <v>1.4487719635308245</v>
      </c>
      <c r="D8" s="227">
        <v>2.9551813420671693</v>
      </c>
      <c r="E8" s="227">
        <v>1.5261002068865537</v>
      </c>
    </row>
    <row r="9" spans="1:5" ht="14.1" customHeight="1" x14ac:dyDescent="0.3">
      <c r="A9" s="590"/>
      <c r="B9" s="215" t="s">
        <v>62</v>
      </c>
      <c r="C9" s="218">
        <v>1.2197444857988322</v>
      </c>
      <c r="D9" s="218">
        <v>4.4453698221741789</v>
      </c>
      <c r="E9" s="218">
        <v>1.4320802363610572</v>
      </c>
    </row>
    <row r="10" spans="1:5" ht="14.1" customHeight="1" x14ac:dyDescent="0.3">
      <c r="A10" s="590"/>
      <c r="B10" s="215" t="s">
        <v>63</v>
      </c>
      <c r="C10" s="218">
        <v>1.3912603707335216</v>
      </c>
      <c r="D10" s="218">
        <v>12.108806386103495</v>
      </c>
      <c r="E10" s="218">
        <v>1.9962950759564029</v>
      </c>
    </row>
    <row r="11" spans="1:5" ht="14.1" customHeight="1" x14ac:dyDescent="0.3">
      <c r="A11" s="590"/>
      <c r="B11" s="215" t="s">
        <v>64</v>
      </c>
      <c r="C11" s="218">
        <v>1.4565162955547157</v>
      </c>
      <c r="D11" s="218">
        <v>3.7767687479038741</v>
      </c>
      <c r="E11" s="218">
        <v>1.5942557277113416</v>
      </c>
    </row>
    <row r="12" spans="1:5" ht="14.1" customHeight="1" x14ac:dyDescent="0.3">
      <c r="A12" s="592"/>
      <c r="B12" s="222" t="s">
        <v>65</v>
      </c>
      <c r="C12" s="223">
        <v>0.53859219017552951</v>
      </c>
      <c r="D12" s="223">
        <v>5.9959763631954477</v>
      </c>
      <c r="E12" s="223">
        <v>0.90221737729435869</v>
      </c>
    </row>
    <row r="13" spans="1:5" ht="14.1" customHeight="1" x14ac:dyDescent="0.3">
      <c r="A13" s="593" t="s">
        <v>163</v>
      </c>
      <c r="B13" s="220" t="s">
        <v>61</v>
      </c>
      <c r="C13" s="221">
        <v>3.0336130034713378</v>
      </c>
      <c r="D13" s="221">
        <v>25.150379020746371</v>
      </c>
      <c r="E13" s="221">
        <v>4.1689290000348063</v>
      </c>
    </row>
    <row r="14" spans="1:5" ht="14.1" customHeight="1" x14ac:dyDescent="0.3">
      <c r="A14" s="594"/>
      <c r="B14" s="215" t="s">
        <v>62</v>
      </c>
      <c r="C14" s="218">
        <v>3.6389278008936294</v>
      </c>
      <c r="D14" s="218">
        <v>28.606222983249069</v>
      </c>
      <c r="E14" s="218">
        <v>5.2824693809617385</v>
      </c>
    </row>
    <row r="15" spans="1:5" ht="14.1" customHeight="1" x14ac:dyDescent="0.3">
      <c r="A15" s="594"/>
      <c r="B15" s="215" t="s">
        <v>63</v>
      </c>
      <c r="C15" s="218">
        <v>4.3117331003269923</v>
      </c>
      <c r="D15" s="218">
        <v>32.502812372702287</v>
      </c>
      <c r="E15" s="218">
        <v>5.9031964178640015</v>
      </c>
    </row>
    <row r="16" spans="1:5" ht="14.1" customHeight="1" x14ac:dyDescent="0.3">
      <c r="A16" s="594"/>
      <c r="B16" s="215" t="s">
        <v>64</v>
      </c>
      <c r="C16" s="218">
        <v>4.3541136938777756</v>
      </c>
      <c r="D16" s="218">
        <v>27.37265701230821</v>
      </c>
      <c r="E16" s="218">
        <v>5.7205861579164168</v>
      </c>
    </row>
    <row r="17" spans="1:5" ht="14.1" customHeight="1" thickBot="1" x14ac:dyDescent="0.35">
      <c r="A17" s="594"/>
      <c r="B17" s="224" t="s">
        <v>65</v>
      </c>
      <c r="C17" s="225">
        <v>4.4624963132106048</v>
      </c>
      <c r="D17" s="225">
        <v>28.529137154175633</v>
      </c>
      <c r="E17" s="225">
        <v>6.0660551798158995</v>
      </c>
    </row>
    <row r="18" spans="1:5" ht="14.1" customHeight="1" x14ac:dyDescent="0.3">
      <c r="A18" s="595" t="s">
        <v>219</v>
      </c>
      <c r="B18" s="215" t="s">
        <v>61</v>
      </c>
      <c r="C18" s="218">
        <v>6.4785371049668861</v>
      </c>
      <c r="D18" s="218">
        <v>39.309133568726537</v>
      </c>
      <c r="E18" s="218">
        <v>8.1638242447283194</v>
      </c>
    </row>
    <row r="19" spans="1:5" ht="14.1" customHeight="1" x14ac:dyDescent="0.3">
      <c r="A19" s="594"/>
      <c r="B19" s="215" t="s">
        <v>62</v>
      </c>
      <c r="C19" s="218">
        <v>7.5035174117983496</v>
      </c>
      <c r="D19" s="218">
        <v>46.201943792640719</v>
      </c>
      <c r="E19" s="218">
        <v>10.050948856637735</v>
      </c>
    </row>
    <row r="20" spans="1:5" ht="14.1" customHeight="1" x14ac:dyDescent="0.3">
      <c r="A20" s="594"/>
      <c r="B20" s="215" t="s">
        <v>63</v>
      </c>
      <c r="C20" s="218">
        <v>9.2180366985573947</v>
      </c>
      <c r="D20" s="218">
        <v>49.451133097597797</v>
      </c>
      <c r="E20" s="218">
        <v>11.489304728112625</v>
      </c>
    </row>
    <row r="21" spans="1:5" ht="14.1" customHeight="1" x14ac:dyDescent="0.3">
      <c r="A21" s="594"/>
      <c r="B21" s="215" t="s">
        <v>64</v>
      </c>
      <c r="C21" s="218">
        <v>8.5554791501066934</v>
      </c>
      <c r="D21" s="218">
        <v>45.674415533539317</v>
      </c>
      <c r="E21" s="218">
        <v>10.759007138854402</v>
      </c>
    </row>
    <row r="22" spans="1:5" ht="14.1" customHeight="1" thickBot="1" x14ac:dyDescent="0.35">
      <c r="A22" s="596"/>
      <c r="B22" s="216" t="s">
        <v>65</v>
      </c>
      <c r="C22" s="219">
        <v>9.736459729292072</v>
      </c>
      <c r="D22" s="219">
        <v>51.50458077770287</v>
      </c>
      <c r="E22" s="219">
        <v>12.519467183104089</v>
      </c>
    </row>
    <row r="23" spans="1:5" ht="11.1" customHeight="1" thickTop="1" x14ac:dyDescent="0.3">
      <c r="A23" s="630" t="s">
        <v>220</v>
      </c>
      <c r="B23" s="630"/>
      <c r="C23" s="630"/>
      <c r="D23" s="630"/>
      <c r="E23" s="630"/>
    </row>
    <row r="25" spans="1:5" ht="68.099999999999994" customHeight="1" thickBot="1" x14ac:dyDescent="0.35">
      <c r="A25" s="632" t="s">
        <v>257</v>
      </c>
      <c r="B25" s="632"/>
      <c r="C25" s="632"/>
      <c r="D25" s="632"/>
      <c r="E25" s="632"/>
    </row>
    <row r="26" spans="1:5" ht="21" customHeight="1" thickTop="1" thickBot="1" x14ac:dyDescent="0.35">
      <c r="A26" s="631" t="s">
        <v>212</v>
      </c>
      <c r="B26" s="631"/>
      <c r="C26" s="239" t="s">
        <v>243</v>
      </c>
      <c r="D26" s="239" t="s">
        <v>244</v>
      </c>
      <c r="E26" s="239" t="s">
        <v>120</v>
      </c>
    </row>
    <row r="27" spans="1:5" ht="14.1" customHeight="1" thickTop="1" x14ac:dyDescent="0.3">
      <c r="A27" s="589" t="s">
        <v>217</v>
      </c>
      <c r="B27" s="214" t="s">
        <v>61</v>
      </c>
      <c r="C27" s="217">
        <v>76.473186985617787</v>
      </c>
      <c r="D27" s="217">
        <v>23.526813014382078</v>
      </c>
      <c r="E27" s="217">
        <v>100</v>
      </c>
    </row>
    <row r="28" spans="1:5" ht="14.1" customHeight="1" x14ac:dyDescent="0.3">
      <c r="A28" s="590"/>
      <c r="B28" s="215" t="s">
        <v>62</v>
      </c>
      <c r="C28" s="218">
        <v>71.736409726429969</v>
      </c>
      <c r="D28" s="218">
        <v>28.263590273569271</v>
      </c>
      <c r="E28" s="218">
        <v>100</v>
      </c>
    </row>
    <row r="29" spans="1:5" ht="14.1" customHeight="1" x14ac:dyDescent="0.3">
      <c r="A29" s="590"/>
      <c r="B29" s="215" t="s">
        <v>63</v>
      </c>
      <c r="C29" s="218">
        <v>76.729254236003371</v>
      </c>
      <c r="D29" s="218">
        <v>23.270745763996249</v>
      </c>
      <c r="E29" s="218">
        <v>100</v>
      </c>
    </row>
    <row r="30" spans="1:5" ht="14.1" customHeight="1" x14ac:dyDescent="0.3">
      <c r="A30" s="590"/>
      <c r="B30" s="215" t="s">
        <v>64</v>
      </c>
      <c r="C30" s="218">
        <v>74.50574767414254</v>
      </c>
      <c r="D30" s="218">
        <v>25.494252325857559</v>
      </c>
      <c r="E30" s="218">
        <v>100</v>
      </c>
    </row>
    <row r="31" spans="1:5" ht="14.1" customHeight="1" x14ac:dyDescent="0.3">
      <c r="A31" s="590"/>
      <c r="B31" s="215" t="s">
        <v>65</v>
      </c>
      <c r="C31" s="218">
        <v>72.671079597721146</v>
      </c>
      <c r="D31" s="218">
        <v>27.328920402277728</v>
      </c>
      <c r="E31" s="218">
        <v>100</v>
      </c>
    </row>
    <row r="32" spans="1:5" ht="14.1" customHeight="1" x14ac:dyDescent="0.3">
      <c r="A32" s="591" t="s">
        <v>218</v>
      </c>
      <c r="B32" s="226" t="s">
        <v>61</v>
      </c>
      <c r="C32" s="227">
        <v>90.059774914831635</v>
      </c>
      <c r="D32" s="227">
        <v>9.9402250851683736</v>
      </c>
      <c r="E32" s="227">
        <v>100</v>
      </c>
    </row>
    <row r="33" spans="1:5" ht="14.1" customHeight="1" x14ac:dyDescent="0.3">
      <c r="A33" s="590"/>
      <c r="B33" s="215" t="s">
        <v>62</v>
      </c>
      <c r="C33" s="218">
        <v>79.566171425349069</v>
      </c>
      <c r="D33" s="218">
        <v>20.433828574650917</v>
      </c>
      <c r="E33" s="218">
        <v>100</v>
      </c>
    </row>
    <row r="34" spans="1:5" ht="14.1" customHeight="1" x14ac:dyDescent="0.3">
      <c r="A34" s="590"/>
      <c r="B34" s="215" t="s">
        <v>63</v>
      </c>
      <c r="C34" s="218">
        <v>65.757810249711852</v>
      </c>
      <c r="D34" s="218">
        <v>34.242189750287885</v>
      </c>
      <c r="E34" s="218">
        <v>100</v>
      </c>
    </row>
    <row r="35" spans="1:5" ht="14.1" customHeight="1" x14ac:dyDescent="0.3">
      <c r="A35" s="590"/>
      <c r="B35" s="215" t="s">
        <v>64</v>
      </c>
      <c r="C35" s="218">
        <v>85.936757822531916</v>
      </c>
      <c r="D35" s="218">
        <v>14.06324217746802</v>
      </c>
      <c r="E35" s="218">
        <v>100</v>
      </c>
    </row>
    <row r="36" spans="1:5" ht="14.1" customHeight="1" x14ac:dyDescent="0.3">
      <c r="A36" s="592"/>
      <c r="B36" s="222" t="s">
        <v>65</v>
      </c>
      <c r="C36" s="223">
        <v>55.718925040568159</v>
      </c>
      <c r="D36" s="223">
        <v>44.281074959431841</v>
      </c>
      <c r="E36" s="223">
        <v>100</v>
      </c>
    </row>
    <row r="37" spans="1:5" ht="14.1" customHeight="1" x14ac:dyDescent="0.3">
      <c r="A37" s="593" t="s">
        <v>163</v>
      </c>
      <c r="B37" s="220" t="s">
        <v>61</v>
      </c>
      <c r="C37" s="221">
        <v>69.03185660879501</v>
      </c>
      <c r="D37" s="221">
        <v>30.96814339120521</v>
      </c>
      <c r="E37" s="221">
        <v>100</v>
      </c>
    </row>
    <row r="38" spans="1:5" ht="14.1" customHeight="1" x14ac:dyDescent="0.3">
      <c r="A38" s="594"/>
      <c r="B38" s="215" t="s">
        <v>62</v>
      </c>
      <c r="C38" s="218">
        <v>64.352200117703987</v>
      </c>
      <c r="D38" s="218">
        <v>35.647799882296034</v>
      </c>
      <c r="E38" s="218">
        <v>100</v>
      </c>
    </row>
    <row r="39" spans="1:5" ht="14.1" customHeight="1" x14ac:dyDescent="0.3">
      <c r="A39" s="594"/>
      <c r="B39" s="215" t="s">
        <v>63</v>
      </c>
      <c r="C39" s="218">
        <v>68.917307139390701</v>
      </c>
      <c r="D39" s="218">
        <v>31.082692860609392</v>
      </c>
      <c r="E39" s="218">
        <v>100</v>
      </c>
    </row>
    <row r="40" spans="1:5" ht="14.1" customHeight="1" x14ac:dyDescent="0.3">
      <c r="A40" s="594"/>
      <c r="B40" s="215" t="s">
        <v>64</v>
      </c>
      <c r="C40" s="218">
        <v>71.594693971821016</v>
      </c>
      <c r="D40" s="218">
        <v>28.405306028179066</v>
      </c>
      <c r="E40" s="218">
        <v>100</v>
      </c>
    </row>
    <row r="41" spans="1:5" ht="14.1" customHeight="1" thickBot="1" x14ac:dyDescent="0.35">
      <c r="A41" s="594"/>
      <c r="B41" s="224" t="s">
        <v>65</v>
      </c>
      <c r="C41" s="225">
        <v>68.66341176146075</v>
      </c>
      <c r="D41" s="225">
        <v>31.336588238539669</v>
      </c>
      <c r="E41" s="225">
        <v>100</v>
      </c>
    </row>
    <row r="42" spans="1:5" ht="14.1" customHeight="1" x14ac:dyDescent="0.3">
      <c r="A42" s="595" t="s">
        <v>219</v>
      </c>
      <c r="B42" s="215" t="s">
        <v>61</v>
      </c>
      <c r="C42" s="218">
        <v>75.283045464549147</v>
      </c>
      <c r="D42" s="218">
        <v>24.716954535450647</v>
      </c>
      <c r="E42" s="218">
        <v>100</v>
      </c>
    </row>
    <row r="43" spans="1:5" ht="14.1" customHeight="1" x14ac:dyDescent="0.3">
      <c r="A43" s="594"/>
      <c r="B43" s="215" t="s">
        <v>62</v>
      </c>
      <c r="C43" s="218">
        <v>69.740455639616101</v>
      </c>
      <c r="D43" s="218">
        <v>30.259544360383135</v>
      </c>
      <c r="E43" s="218">
        <v>100</v>
      </c>
    </row>
    <row r="44" spans="1:5" ht="14.1" customHeight="1" x14ac:dyDescent="0.3">
      <c r="A44" s="594"/>
      <c r="B44" s="215" t="s">
        <v>63</v>
      </c>
      <c r="C44" s="218">
        <v>75.702173369769937</v>
      </c>
      <c r="D44" s="218">
        <v>24.297826630230198</v>
      </c>
      <c r="E44" s="218">
        <v>100</v>
      </c>
    </row>
    <row r="45" spans="1:5" ht="14.1" customHeight="1" x14ac:dyDescent="0.3">
      <c r="A45" s="594"/>
      <c r="B45" s="215" t="s">
        <v>64</v>
      </c>
      <c r="C45" s="218">
        <v>74.798647392948865</v>
      </c>
      <c r="D45" s="218">
        <v>25.201352607051149</v>
      </c>
      <c r="E45" s="218">
        <v>100</v>
      </c>
    </row>
    <row r="46" spans="1:5" ht="14.1" customHeight="1" thickBot="1" x14ac:dyDescent="0.35">
      <c r="A46" s="596"/>
      <c r="B46" s="216" t="s">
        <v>65</v>
      </c>
      <c r="C46" s="219">
        <v>72.588712092238538</v>
      </c>
      <c r="D46" s="219">
        <v>27.41128790776175</v>
      </c>
      <c r="E46" s="219">
        <v>100</v>
      </c>
    </row>
    <row r="47" spans="1:5" ht="11.1" customHeight="1" thickTop="1" x14ac:dyDescent="0.3">
      <c r="A47" s="630" t="s">
        <v>220</v>
      </c>
      <c r="B47" s="630"/>
      <c r="C47" s="630"/>
      <c r="D47" s="630"/>
      <c r="E47" s="630"/>
    </row>
  </sheetData>
  <mergeCells count="14">
    <mergeCell ref="A1:E1"/>
    <mergeCell ref="A3:A7"/>
    <mergeCell ref="A8:A12"/>
    <mergeCell ref="A13:A17"/>
    <mergeCell ref="A32:A36"/>
    <mergeCell ref="A37:A41"/>
    <mergeCell ref="A42:A46"/>
    <mergeCell ref="A47:E47"/>
    <mergeCell ref="A2:B2"/>
    <mergeCell ref="A26:B26"/>
    <mergeCell ref="A18:A22"/>
    <mergeCell ref="A23:E23"/>
    <mergeCell ref="A25:E25"/>
    <mergeCell ref="A27:A3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zoomScale="110" zoomScaleNormal="110" workbookViewId="0">
      <selection sqref="A1:G1"/>
    </sheetView>
  </sheetViews>
  <sheetFormatPr baseColWidth="10" defaultColWidth="9.109375" defaultRowHeight="14.4" x14ac:dyDescent="0.3"/>
  <cols>
    <col min="1" max="1" width="21.109375" customWidth="1"/>
    <col min="2" max="2" width="11.88671875" customWidth="1"/>
    <col min="3" max="3" width="11" customWidth="1"/>
    <col min="4" max="4" width="9.5546875" customWidth="1"/>
    <col min="5" max="5" width="13.5546875" customWidth="1"/>
    <col min="6" max="6" width="11" customWidth="1"/>
    <col min="7" max="7" width="9.5546875" customWidth="1"/>
  </cols>
  <sheetData>
    <row r="1" spans="1:7" ht="68.099999999999994" customHeight="1" thickBot="1" x14ac:dyDescent="0.35">
      <c r="A1" s="634" t="s">
        <v>263</v>
      </c>
      <c r="B1" s="635"/>
      <c r="C1" s="635"/>
      <c r="D1" s="635"/>
      <c r="E1" s="635"/>
      <c r="F1" s="635"/>
      <c r="G1" s="635"/>
    </row>
    <row r="2" spans="1:7" ht="30" customHeight="1" thickTop="1" thickBot="1" x14ac:dyDescent="0.35">
      <c r="A2" s="637" t="s">
        <v>212</v>
      </c>
      <c r="B2" s="637"/>
      <c r="C2" s="240" t="s">
        <v>258</v>
      </c>
      <c r="D2" s="240" t="s">
        <v>259</v>
      </c>
      <c r="E2" s="241" t="s">
        <v>262</v>
      </c>
      <c r="F2" s="240" t="s">
        <v>260</v>
      </c>
      <c r="G2" s="240" t="s">
        <v>120</v>
      </c>
    </row>
    <row r="3" spans="1:7" ht="14.1" customHeight="1" thickTop="1" x14ac:dyDescent="0.3">
      <c r="A3" s="633" t="s">
        <v>217</v>
      </c>
      <c r="B3" s="214" t="s">
        <v>61</v>
      </c>
      <c r="C3" s="217">
        <v>10.3989557228533</v>
      </c>
      <c r="D3" s="217">
        <v>7.207515473450175</v>
      </c>
      <c r="E3" s="217">
        <v>6.4952640004401712</v>
      </c>
      <c r="F3" s="217">
        <v>2.3615135970732553</v>
      </c>
      <c r="G3" s="217">
        <v>5.6639020932687929</v>
      </c>
    </row>
    <row r="4" spans="1:7" ht="14.1" customHeight="1" x14ac:dyDescent="0.3">
      <c r="A4" s="590"/>
      <c r="B4" s="215" t="s">
        <v>62</v>
      </c>
      <c r="C4" s="218">
        <v>14.660619432493604</v>
      </c>
      <c r="D4" s="218">
        <v>9.6041309040524041</v>
      </c>
      <c r="E4" s="218">
        <v>10.23541216752124</v>
      </c>
      <c r="F4" s="218">
        <v>2.619762106663631</v>
      </c>
      <c r="G4" s="218">
        <v>7.2624365667372803</v>
      </c>
    </row>
    <row r="5" spans="1:7" ht="14.1" customHeight="1" x14ac:dyDescent="0.3">
      <c r="A5" s="590"/>
      <c r="B5" s="215" t="s">
        <v>63</v>
      </c>
      <c r="C5" s="218">
        <v>13.558392563916408</v>
      </c>
      <c r="D5" s="218">
        <v>8.4938289815936034</v>
      </c>
      <c r="E5" s="218">
        <v>13.472389865976464</v>
      </c>
      <c r="F5" s="218">
        <v>4.0268753071836878</v>
      </c>
      <c r="G5" s="218">
        <v>8.1798432395376111</v>
      </c>
    </row>
    <row r="6" spans="1:7" ht="14.1" customHeight="1" x14ac:dyDescent="0.3">
      <c r="A6" s="590"/>
      <c r="B6" s="215" t="s">
        <v>64</v>
      </c>
      <c r="C6" s="218">
        <v>10.620658170921587</v>
      </c>
      <c r="D6" s="218">
        <v>7.9359259685831045</v>
      </c>
      <c r="E6" s="218">
        <v>11.546521462445208</v>
      </c>
      <c r="F6" s="218">
        <v>3.3121050503629528</v>
      </c>
      <c r="G6" s="218">
        <v>7.0529277112487119</v>
      </c>
    </row>
    <row r="7" spans="1:7" ht="14.1" customHeight="1" x14ac:dyDescent="0.3">
      <c r="A7" s="590"/>
      <c r="B7" s="215" t="s">
        <v>65</v>
      </c>
      <c r="C7" s="218">
        <v>14.622945914824289</v>
      </c>
      <c r="D7" s="218">
        <v>11.097308435400921</v>
      </c>
      <c r="E7" s="218">
        <v>9.2579838070428586</v>
      </c>
      <c r="F7" s="218">
        <v>3.7943488968462038</v>
      </c>
      <c r="G7" s="218">
        <v>7.9809125852288147</v>
      </c>
    </row>
    <row r="8" spans="1:7" ht="14.1" customHeight="1" x14ac:dyDescent="0.3">
      <c r="A8" s="591" t="s">
        <v>218</v>
      </c>
      <c r="B8" s="226" t="s">
        <v>61</v>
      </c>
      <c r="C8" s="227">
        <v>4.4209689484263315</v>
      </c>
      <c r="D8" s="227">
        <v>2.0047509201849341</v>
      </c>
      <c r="E8" s="227">
        <v>1.552757333099404</v>
      </c>
      <c r="F8" s="227">
        <v>0.46266152011325773</v>
      </c>
      <c r="G8" s="227">
        <v>1.5261002068865537</v>
      </c>
    </row>
    <row r="9" spans="1:7" ht="14.1" customHeight="1" x14ac:dyDescent="0.3">
      <c r="A9" s="590"/>
      <c r="B9" s="215" t="s">
        <v>62</v>
      </c>
      <c r="C9" s="218">
        <v>7.8329184689981401</v>
      </c>
      <c r="D9" s="218">
        <v>2.2149751674257874</v>
      </c>
      <c r="E9" s="218">
        <v>1.156544551857184</v>
      </c>
      <c r="F9" s="218">
        <v>0.47744181647060846</v>
      </c>
      <c r="G9" s="218">
        <v>1.4320802363610572</v>
      </c>
    </row>
    <row r="10" spans="1:7" ht="14.1" customHeight="1" x14ac:dyDescent="0.3">
      <c r="A10" s="590"/>
      <c r="B10" s="215" t="s">
        <v>63</v>
      </c>
      <c r="C10" s="218">
        <v>4.5338646394515054</v>
      </c>
      <c r="D10" s="218">
        <v>2.1938471656115879</v>
      </c>
      <c r="E10" s="218">
        <v>3.6008892079099533</v>
      </c>
      <c r="F10" s="218">
        <v>0.44285397238380714</v>
      </c>
      <c r="G10" s="218">
        <v>1.9962950759564029</v>
      </c>
    </row>
    <row r="11" spans="1:7" ht="14.1" customHeight="1" x14ac:dyDescent="0.3">
      <c r="A11" s="590"/>
      <c r="B11" s="215" t="s">
        <v>64</v>
      </c>
      <c r="C11" s="218">
        <v>5.9567243765396087</v>
      </c>
      <c r="D11" s="218">
        <v>1.8642735351260356</v>
      </c>
      <c r="E11" s="218">
        <v>1.5405231651207139</v>
      </c>
      <c r="F11" s="218">
        <v>0.32295457084338824</v>
      </c>
      <c r="G11" s="218">
        <v>1.5942557277113416</v>
      </c>
    </row>
    <row r="12" spans="1:7" ht="14.1" customHeight="1" x14ac:dyDescent="0.3">
      <c r="A12" s="592"/>
      <c r="B12" s="222" t="s">
        <v>65</v>
      </c>
      <c r="C12" s="223">
        <v>2.1137021951395445</v>
      </c>
      <c r="D12" s="223">
        <v>0.96821304709963829</v>
      </c>
      <c r="E12" s="223">
        <v>1.5718647960919323</v>
      </c>
      <c r="F12" s="223">
        <v>0.24419470150460054</v>
      </c>
      <c r="G12" s="223">
        <v>0.90221737729435869</v>
      </c>
    </row>
    <row r="13" spans="1:7" ht="14.1" customHeight="1" x14ac:dyDescent="0.3">
      <c r="A13" s="593" t="s">
        <v>163</v>
      </c>
      <c r="B13" s="220" t="s">
        <v>61</v>
      </c>
      <c r="C13" s="221">
        <v>8.7549350520184337</v>
      </c>
      <c r="D13" s="221">
        <v>5.4388707563399654</v>
      </c>
      <c r="E13" s="221">
        <v>5.1749596706268282</v>
      </c>
      <c r="F13" s="221">
        <v>1.2097595085188499</v>
      </c>
      <c r="G13" s="221">
        <v>4.1689290000348063</v>
      </c>
    </row>
    <row r="14" spans="1:7" ht="14.1" customHeight="1" x14ac:dyDescent="0.3">
      <c r="A14" s="594"/>
      <c r="B14" s="215" t="s">
        <v>62</v>
      </c>
      <c r="C14" s="218">
        <v>15.848118192159369</v>
      </c>
      <c r="D14" s="218">
        <v>6.7186357917283903</v>
      </c>
      <c r="E14" s="218">
        <v>8.9043400319368171</v>
      </c>
      <c r="F14" s="218">
        <v>1.03344140630938</v>
      </c>
      <c r="G14" s="218">
        <v>5.2824693809617385</v>
      </c>
    </row>
    <row r="15" spans="1:7" ht="14.1" customHeight="1" x14ac:dyDescent="0.3">
      <c r="A15" s="594"/>
      <c r="B15" s="215" t="s">
        <v>63</v>
      </c>
      <c r="C15" s="218">
        <v>12.757307173938178</v>
      </c>
      <c r="D15" s="218">
        <v>6.0412418433064685</v>
      </c>
      <c r="E15" s="218">
        <v>9.9915343048129497</v>
      </c>
      <c r="F15" s="218">
        <v>2.1536341064053039</v>
      </c>
      <c r="G15" s="218">
        <v>5.9031964178640015</v>
      </c>
    </row>
    <row r="16" spans="1:7" ht="14.1" customHeight="1" x14ac:dyDescent="0.3">
      <c r="A16" s="594"/>
      <c r="B16" s="215" t="s">
        <v>64</v>
      </c>
      <c r="C16" s="218">
        <v>12.429414709174038</v>
      </c>
      <c r="D16" s="218">
        <v>6.237179055949893</v>
      </c>
      <c r="E16" s="218">
        <v>9.5052581438040651</v>
      </c>
      <c r="F16" s="218">
        <v>1.8055861916453229</v>
      </c>
      <c r="G16" s="218">
        <v>5.7205861579164168</v>
      </c>
    </row>
    <row r="17" spans="1:7" ht="14.1" customHeight="1" thickBot="1" x14ac:dyDescent="0.35">
      <c r="A17" s="594"/>
      <c r="B17" s="224" t="s">
        <v>65</v>
      </c>
      <c r="C17" s="225">
        <v>12.488128690351145</v>
      </c>
      <c r="D17" s="225">
        <v>8.8264888894221762</v>
      </c>
      <c r="E17" s="225">
        <v>7.7542654443725336</v>
      </c>
      <c r="F17" s="225">
        <v>1.9361905331957321</v>
      </c>
      <c r="G17" s="225">
        <v>6.0660551798158995</v>
      </c>
    </row>
    <row r="18" spans="1:7" ht="14.1" customHeight="1" x14ac:dyDescent="0.3">
      <c r="A18" s="595" t="s">
        <v>219</v>
      </c>
      <c r="B18" s="215" t="s">
        <v>61</v>
      </c>
      <c r="C18" s="218">
        <v>12.975479560176694</v>
      </c>
      <c r="D18" s="218">
        <v>9.8146275291571534</v>
      </c>
      <c r="E18" s="218">
        <v>10.948422094106457</v>
      </c>
      <c r="F18" s="218">
        <v>3.685137938932681</v>
      </c>
      <c r="G18" s="218">
        <v>8.1638242447283194</v>
      </c>
    </row>
    <row r="19" spans="1:7" ht="14.1" customHeight="1" x14ac:dyDescent="0.3">
      <c r="A19" s="594"/>
      <c r="B19" s="215" t="s">
        <v>62</v>
      </c>
      <c r="C19" s="218">
        <v>28.379422324321968</v>
      </c>
      <c r="D19" s="218">
        <v>13.142457717013192</v>
      </c>
      <c r="E19" s="218">
        <v>14.45022838797631</v>
      </c>
      <c r="F19" s="218">
        <v>3.2181755771543488</v>
      </c>
      <c r="G19" s="218">
        <v>10.050948856637735</v>
      </c>
    </row>
    <row r="20" spans="1:7" ht="14.1" customHeight="1" x14ac:dyDescent="0.3">
      <c r="A20" s="594"/>
      <c r="B20" s="215" t="s">
        <v>63</v>
      </c>
      <c r="C20" s="218">
        <v>19.953515377240514</v>
      </c>
      <c r="D20" s="218">
        <v>13.496320308705783</v>
      </c>
      <c r="E20" s="218">
        <v>16.731459761497096</v>
      </c>
      <c r="F20" s="218">
        <v>5.2604021619412071</v>
      </c>
      <c r="G20" s="218">
        <v>11.489304728112625</v>
      </c>
    </row>
    <row r="21" spans="1:7" ht="14.1" customHeight="1" x14ac:dyDescent="0.3">
      <c r="A21" s="594"/>
      <c r="B21" s="215" t="s">
        <v>64</v>
      </c>
      <c r="C21" s="218">
        <v>19.955402062333167</v>
      </c>
      <c r="D21" s="218">
        <v>12.161490796637052</v>
      </c>
      <c r="E21" s="218">
        <v>17.612692139728519</v>
      </c>
      <c r="F21" s="218">
        <v>4.0672733856859757</v>
      </c>
      <c r="G21" s="218">
        <v>10.759007138854402</v>
      </c>
    </row>
    <row r="22" spans="1:7" ht="14.1" customHeight="1" thickBot="1" x14ac:dyDescent="0.35">
      <c r="A22" s="596"/>
      <c r="B22" s="216" t="s">
        <v>65</v>
      </c>
      <c r="C22" s="219">
        <v>21.025786686954607</v>
      </c>
      <c r="D22" s="219">
        <v>18.266361474851642</v>
      </c>
      <c r="E22" s="219">
        <v>17.141996002454871</v>
      </c>
      <c r="F22" s="219">
        <v>4.1807836035149011</v>
      </c>
      <c r="G22" s="219">
        <v>12.519467183104089</v>
      </c>
    </row>
    <row r="23" spans="1:7" ht="11.1" customHeight="1" thickTop="1" x14ac:dyDescent="0.3">
      <c r="A23" s="636" t="s">
        <v>220</v>
      </c>
      <c r="B23" s="636"/>
      <c r="C23" s="636"/>
      <c r="D23" s="636"/>
      <c r="E23" s="636"/>
      <c r="F23" s="636"/>
      <c r="G23" s="636"/>
    </row>
    <row r="25" spans="1:7" ht="68.099999999999994" customHeight="1" thickBot="1" x14ac:dyDescent="0.35">
      <c r="A25" s="635" t="s">
        <v>261</v>
      </c>
      <c r="B25" s="635"/>
      <c r="C25" s="635"/>
      <c r="D25" s="635"/>
      <c r="E25" s="635"/>
      <c r="F25" s="635"/>
      <c r="G25" s="635"/>
    </row>
    <row r="26" spans="1:7" ht="22.8" thickTop="1" thickBot="1" x14ac:dyDescent="0.35">
      <c r="A26" s="637" t="s">
        <v>212</v>
      </c>
      <c r="B26" s="637"/>
      <c r="C26" s="240" t="s">
        <v>258</v>
      </c>
      <c r="D26" s="240" t="s">
        <v>259</v>
      </c>
      <c r="E26" s="241" t="s">
        <v>262</v>
      </c>
      <c r="F26" s="240" t="s">
        <v>260</v>
      </c>
      <c r="G26" s="240" t="s">
        <v>120</v>
      </c>
    </row>
    <row r="27" spans="1:7" ht="14.1" customHeight="1" thickTop="1" x14ac:dyDescent="0.3">
      <c r="A27" s="633" t="s">
        <v>217</v>
      </c>
      <c r="B27" s="214" t="s">
        <v>61</v>
      </c>
      <c r="C27" s="217">
        <v>6.4733208363785781</v>
      </c>
      <c r="D27" s="217">
        <v>61.537493532784204</v>
      </c>
      <c r="E27" s="217">
        <v>18.741593104033225</v>
      </c>
      <c r="F27" s="217">
        <v>13.247592526803897</v>
      </c>
      <c r="G27" s="217">
        <v>100</v>
      </c>
    </row>
    <row r="28" spans="1:7" ht="14.1" customHeight="1" x14ac:dyDescent="0.3">
      <c r="A28" s="590"/>
      <c r="B28" s="215" t="s">
        <v>62</v>
      </c>
      <c r="C28" s="218">
        <v>3.5638272559629862</v>
      </c>
      <c r="D28" s="218">
        <v>50.982023836717083</v>
      </c>
      <c r="E28" s="218">
        <v>32.154875018281068</v>
      </c>
      <c r="F28" s="218">
        <v>13.299273889038085</v>
      </c>
      <c r="G28" s="218">
        <v>100</v>
      </c>
    </row>
    <row r="29" spans="1:7" ht="14.1" customHeight="1" x14ac:dyDescent="0.3">
      <c r="A29" s="590"/>
      <c r="B29" s="215" t="s">
        <v>63</v>
      </c>
      <c r="C29" s="218">
        <v>15.096973346371648</v>
      </c>
      <c r="D29" s="218">
        <v>33.297098412724154</v>
      </c>
      <c r="E29" s="218">
        <v>32.301279783781467</v>
      </c>
      <c r="F29" s="218">
        <v>19.30464845712261</v>
      </c>
      <c r="G29" s="218">
        <v>100</v>
      </c>
    </row>
    <row r="30" spans="1:7" ht="14.1" customHeight="1" x14ac:dyDescent="0.3">
      <c r="A30" s="590"/>
      <c r="B30" s="215" t="s">
        <v>64</v>
      </c>
      <c r="C30" s="218">
        <v>15.29272052353347</v>
      </c>
      <c r="D30" s="218">
        <v>33.557910436383125</v>
      </c>
      <c r="E30" s="218">
        <v>32.199842031147867</v>
      </c>
      <c r="F30" s="218">
        <v>18.949527008935526</v>
      </c>
      <c r="G30" s="218">
        <v>100</v>
      </c>
    </row>
    <row r="31" spans="1:7" ht="14.1" customHeight="1" x14ac:dyDescent="0.3">
      <c r="A31" s="590"/>
      <c r="B31" s="215" t="s">
        <v>65</v>
      </c>
      <c r="C31" s="218">
        <v>13.688535947126482</v>
      </c>
      <c r="D31" s="218">
        <v>40.022589639536662</v>
      </c>
      <c r="E31" s="218">
        <v>27.081646127343216</v>
      </c>
      <c r="F31" s="218">
        <v>19.207228285992905</v>
      </c>
      <c r="G31" s="218">
        <v>100</v>
      </c>
    </row>
    <row r="32" spans="1:7" ht="14.1" customHeight="1" x14ac:dyDescent="0.3">
      <c r="A32" s="591" t="s">
        <v>218</v>
      </c>
      <c r="B32" s="226" t="s">
        <v>61</v>
      </c>
      <c r="C32" s="227">
        <v>10.213804813673255</v>
      </c>
      <c r="D32" s="227">
        <v>63.525388169312066</v>
      </c>
      <c r="E32" s="227">
        <v>16.628228057022554</v>
      </c>
      <c r="F32" s="227">
        <v>9.6325789599921201</v>
      </c>
      <c r="G32" s="227">
        <v>100</v>
      </c>
    </row>
    <row r="33" spans="1:7" ht="14.1" customHeight="1" x14ac:dyDescent="0.3">
      <c r="A33" s="590"/>
      <c r="B33" s="215" t="s">
        <v>62</v>
      </c>
      <c r="C33" s="218">
        <v>9.6561261680354651</v>
      </c>
      <c r="D33" s="218">
        <v>59.626986818177954</v>
      </c>
      <c r="E33" s="218">
        <v>18.425482017981842</v>
      </c>
      <c r="F33" s="218">
        <v>12.291404995804706</v>
      </c>
      <c r="G33" s="218">
        <v>100</v>
      </c>
    </row>
    <row r="34" spans="1:7" ht="14.1" customHeight="1" x14ac:dyDescent="0.3">
      <c r="A34" s="590"/>
      <c r="B34" s="215" t="s">
        <v>63</v>
      </c>
      <c r="C34" s="218">
        <v>20.685712263312421</v>
      </c>
      <c r="D34" s="218">
        <v>35.239480034994855</v>
      </c>
      <c r="E34" s="218">
        <v>35.375704051443755</v>
      </c>
      <c r="F34" s="218">
        <v>8.6991036502487997</v>
      </c>
      <c r="G34" s="218">
        <v>100</v>
      </c>
    </row>
    <row r="35" spans="1:7" ht="14.1" customHeight="1" x14ac:dyDescent="0.3">
      <c r="A35" s="590"/>
      <c r="B35" s="215" t="s">
        <v>64</v>
      </c>
      <c r="C35" s="218">
        <v>37.944800394756342</v>
      </c>
      <c r="D35" s="218">
        <v>34.875334672637777</v>
      </c>
      <c r="E35" s="218">
        <v>19.005629283594359</v>
      </c>
      <c r="F35" s="218">
        <v>8.1742356490114449</v>
      </c>
      <c r="G35" s="218">
        <v>100</v>
      </c>
    </row>
    <row r="36" spans="1:7" ht="14.1" customHeight="1" x14ac:dyDescent="0.3">
      <c r="A36" s="592"/>
      <c r="B36" s="222" t="s">
        <v>65</v>
      </c>
      <c r="C36" s="223">
        <v>17.502790394714257</v>
      </c>
      <c r="D36" s="223">
        <v>30.888713901577585</v>
      </c>
      <c r="E36" s="223">
        <v>40.673841877527209</v>
      </c>
      <c r="F36" s="223">
        <v>10.934653826180959</v>
      </c>
      <c r="G36" s="223">
        <v>100</v>
      </c>
    </row>
    <row r="37" spans="1:7" ht="14.1" customHeight="1" x14ac:dyDescent="0.3">
      <c r="A37" s="593" t="s">
        <v>163</v>
      </c>
      <c r="B37" s="220" t="s">
        <v>61</v>
      </c>
      <c r="C37" s="221">
        <v>7.4042584676723724</v>
      </c>
      <c r="D37" s="221">
        <v>63.089080415712203</v>
      </c>
      <c r="E37" s="221">
        <v>20.286536435283793</v>
      </c>
      <c r="F37" s="221">
        <v>9.2201246813318445</v>
      </c>
      <c r="G37" s="221">
        <v>100</v>
      </c>
    </row>
    <row r="38" spans="1:7" ht="14.1" customHeight="1" x14ac:dyDescent="0.3">
      <c r="A38" s="594"/>
      <c r="B38" s="215" t="s">
        <v>62</v>
      </c>
      <c r="C38" s="218">
        <v>5.2964806480222286</v>
      </c>
      <c r="D38" s="218">
        <v>49.032661080505427</v>
      </c>
      <c r="E38" s="218">
        <v>38.45816778582158</v>
      </c>
      <c r="F38" s="218">
        <v>7.2126904856507092</v>
      </c>
      <c r="G38" s="218">
        <v>100</v>
      </c>
    </row>
    <row r="39" spans="1:7" ht="14.1" customHeight="1" x14ac:dyDescent="0.3">
      <c r="A39" s="594"/>
      <c r="B39" s="215" t="s">
        <v>63</v>
      </c>
      <c r="C39" s="218">
        <v>19.683324118518509</v>
      </c>
      <c r="D39" s="218">
        <v>32.816090902548027</v>
      </c>
      <c r="E39" s="218">
        <v>33.194414928060191</v>
      </c>
      <c r="F39" s="218">
        <v>14.306170050873451</v>
      </c>
      <c r="G39" s="218">
        <v>100</v>
      </c>
    </row>
    <row r="40" spans="1:7" ht="14.1" customHeight="1" x14ac:dyDescent="0.3">
      <c r="A40" s="594"/>
      <c r="B40" s="215" t="s">
        <v>64</v>
      </c>
      <c r="C40" s="218">
        <v>22.065455693179356</v>
      </c>
      <c r="D40" s="218">
        <v>32.517295404184082</v>
      </c>
      <c r="E40" s="218">
        <v>32.681004107674774</v>
      </c>
      <c r="F40" s="218">
        <v>12.736244794961918</v>
      </c>
      <c r="G40" s="218">
        <v>100</v>
      </c>
    </row>
    <row r="41" spans="1:7" ht="14.1" customHeight="1" thickBot="1" x14ac:dyDescent="0.35">
      <c r="A41" s="594"/>
      <c r="B41" s="224" t="s">
        <v>65</v>
      </c>
      <c r="C41" s="225">
        <v>15.380331284790513</v>
      </c>
      <c r="D41" s="225">
        <v>41.88144963946236</v>
      </c>
      <c r="E41" s="225">
        <v>29.843207821877481</v>
      </c>
      <c r="F41" s="225">
        <v>12.895011253870454</v>
      </c>
      <c r="G41" s="225">
        <v>100</v>
      </c>
    </row>
    <row r="42" spans="1:7" ht="14.1" customHeight="1" x14ac:dyDescent="0.3">
      <c r="A42" s="595" t="s">
        <v>219</v>
      </c>
      <c r="B42" s="215" t="s">
        <v>61</v>
      </c>
      <c r="C42" s="218">
        <v>5.6038036833011615</v>
      </c>
      <c r="D42" s="218">
        <v>58.136667461813332</v>
      </c>
      <c r="E42" s="218">
        <v>21.917111675510775</v>
      </c>
      <c r="F42" s="218">
        <v>14.342417179374623</v>
      </c>
      <c r="G42" s="218">
        <v>100</v>
      </c>
    </row>
    <row r="43" spans="1:7" ht="14.1" customHeight="1" x14ac:dyDescent="0.3">
      <c r="A43" s="594"/>
      <c r="B43" s="215" t="s">
        <v>62</v>
      </c>
      <c r="C43" s="218">
        <v>4.984747504704429</v>
      </c>
      <c r="D43" s="218">
        <v>50.409324553636466</v>
      </c>
      <c r="E43" s="218">
        <v>32.801332776566205</v>
      </c>
      <c r="F43" s="218">
        <v>11.80459516509184</v>
      </c>
      <c r="G43" s="218">
        <v>100</v>
      </c>
    </row>
    <row r="44" spans="1:7" ht="14.1" customHeight="1" x14ac:dyDescent="0.3">
      <c r="A44" s="594"/>
      <c r="B44" s="215" t="s">
        <v>63</v>
      </c>
      <c r="C44" s="218">
        <v>15.818027883453034</v>
      </c>
      <c r="D44" s="218">
        <v>37.667733283791904</v>
      </c>
      <c r="E44" s="218">
        <v>28.560128251464906</v>
      </c>
      <c r="F44" s="218">
        <v>17.95411058129007</v>
      </c>
      <c r="G44" s="218">
        <v>100</v>
      </c>
    </row>
    <row r="45" spans="1:7" ht="14.1" customHeight="1" x14ac:dyDescent="0.3">
      <c r="A45" s="594"/>
      <c r="B45" s="215" t="s">
        <v>64</v>
      </c>
      <c r="C45" s="218">
        <v>18.836102277660991</v>
      </c>
      <c r="D45" s="218">
        <v>33.711754469843015</v>
      </c>
      <c r="E45" s="218">
        <v>32.197752284114436</v>
      </c>
      <c r="F45" s="218">
        <v>15.254390968381573</v>
      </c>
      <c r="G45" s="218">
        <v>100</v>
      </c>
    </row>
    <row r="46" spans="1:7" ht="14.1" customHeight="1" thickBot="1" x14ac:dyDescent="0.35">
      <c r="A46" s="596"/>
      <c r="B46" s="216" t="s">
        <v>65</v>
      </c>
      <c r="C46" s="219">
        <v>12.547034410840761</v>
      </c>
      <c r="D46" s="219">
        <v>41.995841190726885</v>
      </c>
      <c r="E46" s="219">
        <v>31.965885498980427</v>
      </c>
      <c r="F46" s="219">
        <v>13.491238899451016</v>
      </c>
      <c r="G46" s="219">
        <v>100</v>
      </c>
    </row>
    <row r="47" spans="1:7" ht="11.1" customHeight="1" thickTop="1" x14ac:dyDescent="0.3">
      <c r="A47" s="636" t="s">
        <v>220</v>
      </c>
      <c r="B47" s="636"/>
      <c r="C47" s="636"/>
      <c r="D47" s="636"/>
      <c r="E47" s="636"/>
      <c r="F47" s="636"/>
      <c r="G47" s="636"/>
    </row>
  </sheetData>
  <mergeCells count="14">
    <mergeCell ref="A37:A41"/>
    <mergeCell ref="A42:A46"/>
    <mergeCell ref="A47:G47"/>
    <mergeCell ref="A2:B2"/>
    <mergeCell ref="A26:B26"/>
    <mergeCell ref="A18:A22"/>
    <mergeCell ref="A23:G23"/>
    <mergeCell ref="A25:G25"/>
    <mergeCell ref="A27:A31"/>
    <mergeCell ref="A1:G1"/>
    <mergeCell ref="A3:A7"/>
    <mergeCell ref="A8:A12"/>
    <mergeCell ref="A13:A17"/>
    <mergeCell ref="A32:A3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zoomScale="110" zoomScaleNormal="110" workbookViewId="0">
      <selection sqref="A1:H1"/>
    </sheetView>
  </sheetViews>
  <sheetFormatPr baseColWidth="10" defaultColWidth="9.109375" defaultRowHeight="14.4" x14ac:dyDescent="0.3"/>
  <cols>
    <col min="1" max="1" width="21.109375" customWidth="1"/>
    <col min="2" max="2" width="11.88671875" customWidth="1"/>
    <col min="3" max="5" width="13.5546875" customWidth="1"/>
    <col min="6" max="6" width="13" customWidth="1"/>
    <col min="7" max="7" width="10" customWidth="1"/>
    <col min="8" max="8" width="9.5546875" customWidth="1"/>
  </cols>
  <sheetData>
    <row r="1" spans="1:8" ht="68.099999999999994" customHeight="1" thickBot="1" x14ac:dyDescent="0.35">
      <c r="A1" s="641" t="s">
        <v>264</v>
      </c>
      <c r="B1" s="640"/>
      <c r="C1" s="640"/>
      <c r="D1" s="640"/>
      <c r="E1" s="640"/>
      <c r="F1" s="640"/>
      <c r="G1" s="640"/>
      <c r="H1" s="640"/>
    </row>
    <row r="2" spans="1:8" ht="39.75" customHeight="1" thickTop="1" thickBot="1" x14ac:dyDescent="0.35">
      <c r="A2" s="639" t="s">
        <v>212</v>
      </c>
      <c r="B2" s="639"/>
      <c r="C2" s="242" t="s">
        <v>265</v>
      </c>
      <c r="D2" s="242" t="s">
        <v>266</v>
      </c>
      <c r="E2" s="242" t="s">
        <v>267</v>
      </c>
      <c r="F2" s="242" t="s">
        <v>268</v>
      </c>
      <c r="G2" s="242" t="s">
        <v>269</v>
      </c>
      <c r="H2" s="242" t="s">
        <v>120</v>
      </c>
    </row>
    <row r="3" spans="1:8" ht="14.1" customHeight="1" thickTop="1" x14ac:dyDescent="0.3">
      <c r="A3" s="633" t="s">
        <v>217</v>
      </c>
      <c r="B3" s="214" t="s">
        <v>61</v>
      </c>
      <c r="C3" s="217">
        <v>3.0635989200676121</v>
      </c>
      <c r="D3" s="217">
        <v>0.89879893950264</v>
      </c>
      <c r="E3" s="217">
        <v>13.188145155152329</v>
      </c>
      <c r="F3" s="217">
        <v>54.045447356139995</v>
      </c>
      <c r="G3" s="217">
        <v>9.431322166653505</v>
      </c>
      <c r="H3" s="217">
        <v>5.6639020932687929</v>
      </c>
    </row>
    <row r="4" spans="1:8" ht="14.1" customHeight="1" x14ac:dyDescent="0.3">
      <c r="A4" s="590"/>
      <c r="B4" s="215" t="s">
        <v>62</v>
      </c>
      <c r="C4" s="218">
        <v>2.1120348299695428</v>
      </c>
      <c r="D4" s="218">
        <v>1.9533325825156167</v>
      </c>
      <c r="E4" s="218">
        <v>18.365372217832704</v>
      </c>
      <c r="F4" s="218">
        <v>45.708054155309483</v>
      </c>
      <c r="G4" s="218">
        <v>7.039913678575803</v>
      </c>
      <c r="H4" s="218">
        <v>7.2624365667372803</v>
      </c>
    </row>
    <row r="5" spans="1:8" ht="14.1" customHeight="1" x14ac:dyDescent="0.3">
      <c r="A5" s="590"/>
      <c r="B5" s="215" t="s">
        <v>63</v>
      </c>
      <c r="C5" s="218">
        <v>1.6526376686811415</v>
      </c>
      <c r="D5" s="218">
        <v>4.6190990018766653</v>
      </c>
      <c r="E5" s="218">
        <v>16.685368814635854</v>
      </c>
      <c r="F5" s="218">
        <v>47.388085447381378</v>
      </c>
      <c r="G5" s="218">
        <v>6.913987116994309</v>
      </c>
      <c r="H5" s="218">
        <v>8.1798432395376111</v>
      </c>
    </row>
    <row r="6" spans="1:8" ht="14.1" customHeight="1" x14ac:dyDescent="0.3">
      <c r="A6" s="590"/>
      <c r="B6" s="215" t="s">
        <v>64</v>
      </c>
      <c r="C6" s="218">
        <v>1.937323876520131</v>
      </c>
      <c r="D6" s="218">
        <v>3.3985503566043835</v>
      </c>
      <c r="E6" s="218">
        <v>16.477538531672291</v>
      </c>
      <c r="F6" s="218">
        <v>47.146280583980101</v>
      </c>
      <c r="G6" s="218">
        <v>6.8652297993206695</v>
      </c>
      <c r="H6" s="218">
        <v>7.0529277112487119</v>
      </c>
    </row>
    <row r="7" spans="1:8" ht="14.1" customHeight="1" x14ac:dyDescent="0.3">
      <c r="A7" s="590"/>
      <c r="B7" s="215" t="s">
        <v>65</v>
      </c>
      <c r="C7" s="218">
        <v>1.9305755980075847</v>
      </c>
      <c r="D7" s="218">
        <v>5.0521084169824464</v>
      </c>
      <c r="E7" s="218">
        <v>18.074108567267121</v>
      </c>
      <c r="F7" s="218">
        <v>51.763894526309883</v>
      </c>
      <c r="G7" s="218">
        <v>11.324927323769664</v>
      </c>
      <c r="H7" s="218">
        <v>7.9809125852288147</v>
      </c>
    </row>
    <row r="8" spans="1:8" ht="14.1" customHeight="1" x14ac:dyDescent="0.3">
      <c r="A8" s="591" t="s">
        <v>218</v>
      </c>
      <c r="B8" s="226" t="s">
        <v>61</v>
      </c>
      <c r="C8" s="227">
        <v>0.53710365685695838</v>
      </c>
      <c r="D8" s="227">
        <v>0.63855073048746713</v>
      </c>
      <c r="E8" s="227">
        <v>4.5192371742643154</v>
      </c>
      <c r="F8" s="227">
        <v>15.809671254442408</v>
      </c>
      <c r="G8" s="227">
        <v>2.2420579323786334</v>
      </c>
      <c r="H8" s="227">
        <v>1.5261002068865537</v>
      </c>
    </row>
    <row r="9" spans="1:8" ht="14.1" customHeight="1" x14ac:dyDescent="0.3">
      <c r="A9" s="590"/>
      <c r="B9" s="215" t="s">
        <v>62</v>
      </c>
      <c r="C9" s="218">
        <v>0.27059607663357549</v>
      </c>
      <c r="D9" s="218">
        <v>0.71373091013716272</v>
      </c>
      <c r="E9" s="218">
        <v>3.2634817020119571</v>
      </c>
      <c r="F9" s="218">
        <v>10.855751863601812</v>
      </c>
      <c r="G9" s="218">
        <v>0.78653686468221051</v>
      </c>
      <c r="H9" s="218">
        <v>1.4320802363610572</v>
      </c>
    </row>
    <row r="10" spans="1:8" ht="14.1" customHeight="1" x14ac:dyDescent="0.3">
      <c r="A10" s="590"/>
      <c r="B10" s="215" t="s">
        <v>63</v>
      </c>
      <c r="C10" s="218">
        <v>0.42580270376074597</v>
      </c>
      <c r="D10" s="218">
        <v>1.8974021595338539</v>
      </c>
      <c r="E10" s="218">
        <v>2.6884887662147978</v>
      </c>
      <c r="F10" s="218">
        <v>10.623040182361391</v>
      </c>
      <c r="G10" s="218">
        <v>1.7052513552988078</v>
      </c>
      <c r="H10" s="218">
        <v>1.9962950759564029</v>
      </c>
    </row>
    <row r="11" spans="1:8" ht="14.1" customHeight="1" x14ac:dyDescent="0.3">
      <c r="A11" s="590"/>
      <c r="B11" s="215" t="s">
        <v>64</v>
      </c>
      <c r="C11" s="218">
        <v>0.53482453645746242</v>
      </c>
      <c r="D11" s="218">
        <v>0.79597573501054542</v>
      </c>
      <c r="E11" s="218">
        <v>5.3649929116652508</v>
      </c>
      <c r="F11" s="218">
        <v>8.2097706526974878</v>
      </c>
      <c r="G11" s="218">
        <v>1.1348674789616782</v>
      </c>
      <c r="H11" s="218">
        <v>1.5942557277113416</v>
      </c>
    </row>
    <row r="12" spans="1:8" ht="14.1" customHeight="1" x14ac:dyDescent="0.3">
      <c r="A12" s="592"/>
      <c r="B12" s="222" t="s">
        <v>65</v>
      </c>
      <c r="C12" s="223">
        <v>0.36582236006963414</v>
      </c>
      <c r="D12" s="223">
        <v>0.49518021619181773</v>
      </c>
      <c r="E12" s="223">
        <v>1.8521626517179008</v>
      </c>
      <c r="F12" s="223">
        <v>5.3087845780534684</v>
      </c>
      <c r="G12" s="223">
        <v>1.1634304585236104</v>
      </c>
      <c r="H12" s="223">
        <v>0.90221737729435869</v>
      </c>
    </row>
    <row r="13" spans="1:8" ht="14.1" customHeight="1" x14ac:dyDescent="0.3">
      <c r="A13" s="593" t="s">
        <v>163</v>
      </c>
      <c r="B13" s="220" t="s">
        <v>61</v>
      </c>
      <c r="C13" s="221">
        <v>1.3906108073991228</v>
      </c>
      <c r="D13" s="221">
        <v>0.60008383127539899</v>
      </c>
      <c r="E13" s="221">
        <v>14.733458488252307</v>
      </c>
      <c r="F13" s="221">
        <v>49.712289039880389</v>
      </c>
      <c r="G13" s="221">
        <v>5.6577114238908539</v>
      </c>
      <c r="H13" s="221">
        <v>4.1689290000348063</v>
      </c>
    </row>
    <row r="14" spans="1:8" ht="14.1" customHeight="1" x14ac:dyDescent="0.3">
      <c r="A14" s="594"/>
      <c r="B14" s="215" t="s">
        <v>62</v>
      </c>
      <c r="C14" s="218">
        <v>1.1225274741606968</v>
      </c>
      <c r="D14" s="218">
        <v>0.89663569302461443</v>
      </c>
      <c r="E14" s="218">
        <v>17.265736311689615</v>
      </c>
      <c r="F14" s="218">
        <v>37.922535481415366</v>
      </c>
      <c r="G14" s="218">
        <v>3.1115375425720986</v>
      </c>
      <c r="H14" s="218">
        <v>5.2824693809617385</v>
      </c>
    </row>
    <row r="15" spans="1:8" ht="14.1" customHeight="1" x14ac:dyDescent="0.3">
      <c r="A15" s="594"/>
      <c r="B15" s="215" t="s">
        <v>63</v>
      </c>
      <c r="C15" s="218">
        <v>0.92790325004753937</v>
      </c>
      <c r="D15" s="218">
        <v>2.543513365491882</v>
      </c>
      <c r="E15" s="218">
        <v>12.7478585434386</v>
      </c>
      <c r="F15" s="218">
        <v>39.593538068775928</v>
      </c>
      <c r="G15" s="218">
        <v>3.7843959481524578</v>
      </c>
      <c r="H15" s="218">
        <v>5.9031964178640015</v>
      </c>
    </row>
    <row r="16" spans="1:8" ht="14.1" customHeight="1" x14ac:dyDescent="0.3">
      <c r="A16" s="594"/>
      <c r="B16" s="215" t="s">
        <v>64</v>
      </c>
      <c r="C16" s="218">
        <v>1.1738230133601073</v>
      </c>
      <c r="D16" s="218">
        <v>2.7609040326029044</v>
      </c>
      <c r="E16" s="218">
        <v>15.994766638130523</v>
      </c>
      <c r="F16" s="218">
        <v>39.140516629295881</v>
      </c>
      <c r="G16" s="218">
        <v>4.8469501695124251</v>
      </c>
      <c r="H16" s="218">
        <v>5.7205861579164168</v>
      </c>
    </row>
    <row r="17" spans="1:8" ht="14.1" customHeight="1" thickBot="1" x14ac:dyDescent="0.35">
      <c r="A17" s="594"/>
      <c r="B17" s="224" t="s">
        <v>65</v>
      </c>
      <c r="C17" s="225">
        <v>1.7956374506663633</v>
      </c>
      <c r="D17" s="225">
        <v>2.7399652468533153</v>
      </c>
      <c r="E17" s="225">
        <v>11.884563997389208</v>
      </c>
      <c r="F17" s="225">
        <v>45.633066072407452</v>
      </c>
      <c r="G17" s="225">
        <v>7.8214883703714086</v>
      </c>
      <c r="H17" s="225">
        <v>6.0660551798158995</v>
      </c>
    </row>
    <row r="18" spans="1:8" ht="14.1" customHeight="1" x14ac:dyDescent="0.3">
      <c r="A18" s="595" t="s">
        <v>219</v>
      </c>
      <c r="B18" s="215" t="s">
        <v>61</v>
      </c>
      <c r="C18" s="218">
        <v>4.0299034477798941</v>
      </c>
      <c r="D18" s="218">
        <v>5.2521494635610448</v>
      </c>
      <c r="E18" s="218">
        <v>22.273378601272181</v>
      </c>
      <c r="F18" s="218">
        <v>61.187855084837359</v>
      </c>
      <c r="G18" s="218">
        <v>10.143661818222585</v>
      </c>
      <c r="H18" s="218">
        <v>8.1638242447283194</v>
      </c>
    </row>
    <row r="19" spans="1:8" ht="14.1" customHeight="1" x14ac:dyDescent="0.3">
      <c r="A19" s="594"/>
      <c r="B19" s="215" t="s">
        <v>62</v>
      </c>
      <c r="C19" s="218">
        <v>3.1815396012574872</v>
      </c>
      <c r="D19" s="218">
        <v>4.6345098240562779</v>
      </c>
      <c r="E19" s="218">
        <v>32.856011008895528</v>
      </c>
      <c r="F19" s="218">
        <v>49.269593833196318</v>
      </c>
      <c r="G19" s="218">
        <v>7.7901123687966036</v>
      </c>
      <c r="H19" s="218">
        <v>10.050948856637735</v>
      </c>
    </row>
    <row r="20" spans="1:8" ht="14.1" customHeight="1" x14ac:dyDescent="0.3">
      <c r="A20" s="594"/>
      <c r="B20" s="215" t="s">
        <v>63</v>
      </c>
      <c r="C20" s="218">
        <v>2.6896395255471628</v>
      </c>
      <c r="D20" s="218">
        <v>9.6340300824010718</v>
      </c>
      <c r="E20" s="218">
        <v>27.3675846086545</v>
      </c>
      <c r="F20" s="218">
        <v>54.193587712677214</v>
      </c>
      <c r="G20" s="218">
        <v>9.3467817313495107</v>
      </c>
      <c r="H20" s="218">
        <v>11.489304728112625</v>
      </c>
    </row>
    <row r="21" spans="1:8" ht="14.1" customHeight="1" x14ac:dyDescent="0.3">
      <c r="A21" s="594"/>
      <c r="B21" s="215" t="s">
        <v>64</v>
      </c>
      <c r="C21" s="218">
        <v>3.234570752024458</v>
      </c>
      <c r="D21" s="218">
        <v>8.4361154204730227</v>
      </c>
      <c r="E21" s="218">
        <v>28.681973261429146</v>
      </c>
      <c r="F21" s="218">
        <v>53.045550066990131</v>
      </c>
      <c r="G21" s="218">
        <v>9.7390931534605674</v>
      </c>
      <c r="H21" s="218">
        <v>10.759007138854402</v>
      </c>
    </row>
    <row r="22" spans="1:8" ht="14.1" customHeight="1" thickBot="1" x14ac:dyDescent="0.35">
      <c r="A22" s="596"/>
      <c r="B22" s="216" t="s">
        <v>65</v>
      </c>
      <c r="C22" s="219">
        <v>5.8400279976098108</v>
      </c>
      <c r="D22" s="219">
        <v>8.2572816242090425</v>
      </c>
      <c r="E22" s="219">
        <v>23.89968094455914</v>
      </c>
      <c r="F22" s="219">
        <v>66.399498297274462</v>
      </c>
      <c r="G22" s="219">
        <v>15.533849936309174</v>
      </c>
      <c r="H22" s="219">
        <v>12.519467183104089</v>
      </c>
    </row>
    <row r="23" spans="1:8" ht="11.1" customHeight="1" thickTop="1" x14ac:dyDescent="0.3">
      <c r="A23" s="638" t="s">
        <v>220</v>
      </c>
      <c r="B23" s="638"/>
      <c r="C23" s="638"/>
      <c r="D23" s="638"/>
      <c r="E23" s="638"/>
      <c r="F23" s="638"/>
      <c r="G23" s="638"/>
      <c r="H23" s="638"/>
    </row>
    <row r="25" spans="1:8" ht="68.099999999999994" customHeight="1" thickBot="1" x14ac:dyDescent="0.35">
      <c r="A25" s="640" t="s">
        <v>270</v>
      </c>
      <c r="B25" s="640"/>
      <c r="C25" s="640"/>
      <c r="D25" s="640"/>
      <c r="E25" s="640"/>
      <c r="F25" s="640"/>
      <c r="G25" s="640"/>
      <c r="H25" s="640"/>
    </row>
    <row r="26" spans="1:8" ht="36.75" customHeight="1" thickTop="1" thickBot="1" x14ac:dyDescent="0.35">
      <c r="A26" s="639" t="s">
        <v>212</v>
      </c>
      <c r="B26" s="639"/>
      <c r="C26" s="242" t="s">
        <v>265</v>
      </c>
      <c r="D26" s="242" t="s">
        <v>266</v>
      </c>
      <c r="E26" s="242" t="s">
        <v>267</v>
      </c>
      <c r="F26" s="242" t="s">
        <v>268</v>
      </c>
      <c r="G26" s="242" t="s">
        <v>269</v>
      </c>
      <c r="H26" s="242" t="s">
        <v>120</v>
      </c>
    </row>
    <row r="27" spans="1:8" ht="14.1" customHeight="1" thickTop="1" x14ac:dyDescent="0.3">
      <c r="A27" s="633" t="s">
        <v>217</v>
      </c>
      <c r="B27" s="214" t="s">
        <v>61</v>
      </c>
      <c r="C27" s="217">
        <v>27.894261791385659</v>
      </c>
      <c r="D27" s="217">
        <v>3.3464104065051798</v>
      </c>
      <c r="E27" s="217">
        <v>20.787740298706346</v>
      </c>
      <c r="F27" s="217">
        <v>20.967873845230709</v>
      </c>
      <c r="G27" s="217">
        <v>27.003713658172096</v>
      </c>
      <c r="H27" s="217">
        <v>100</v>
      </c>
    </row>
    <row r="28" spans="1:8" ht="14.1" customHeight="1" x14ac:dyDescent="0.3">
      <c r="A28" s="590"/>
      <c r="B28" s="215" t="s">
        <v>62</v>
      </c>
      <c r="C28" s="218">
        <v>12.255845365504042</v>
      </c>
      <c r="D28" s="218">
        <v>6.598540670108588</v>
      </c>
      <c r="E28" s="218">
        <v>22.94710572549242</v>
      </c>
      <c r="F28" s="218">
        <v>41.007869341154873</v>
      </c>
      <c r="G28" s="218">
        <v>17.190638897739248</v>
      </c>
      <c r="H28" s="218">
        <v>100</v>
      </c>
    </row>
    <row r="29" spans="1:8" ht="14.1" customHeight="1" x14ac:dyDescent="0.3">
      <c r="A29" s="590"/>
      <c r="B29" s="215" t="s">
        <v>63</v>
      </c>
      <c r="C29" s="218">
        <v>9.0773695033092121</v>
      </c>
      <c r="D29" s="218">
        <v>12.03993996292246</v>
      </c>
      <c r="E29" s="218">
        <v>14.411119747460033</v>
      </c>
      <c r="F29" s="218">
        <v>49.076677011097118</v>
      </c>
      <c r="G29" s="218">
        <v>15.394893775210905</v>
      </c>
      <c r="H29" s="218">
        <v>100</v>
      </c>
    </row>
    <row r="30" spans="1:8" ht="14.1" customHeight="1" x14ac:dyDescent="0.3">
      <c r="A30" s="590"/>
      <c r="B30" s="215" t="s">
        <v>64</v>
      </c>
      <c r="C30" s="218">
        <v>12.462365103397683</v>
      </c>
      <c r="D30" s="218">
        <v>10.509173678712708</v>
      </c>
      <c r="E30" s="218">
        <v>22.710415498082959</v>
      </c>
      <c r="F30" s="218">
        <v>37.258301063599689</v>
      </c>
      <c r="G30" s="218">
        <v>17.059744656207037</v>
      </c>
      <c r="H30" s="218">
        <v>100</v>
      </c>
    </row>
    <row r="31" spans="1:8" ht="14.1" customHeight="1" x14ac:dyDescent="0.3">
      <c r="A31" s="590"/>
      <c r="B31" s="215" t="s">
        <v>65</v>
      </c>
      <c r="C31" s="218">
        <v>12.567147807412299</v>
      </c>
      <c r="D31" s="218">
        <v>10.25421540990914</v>
      </c>
      <c r="E31" s="218">
        <v>18.997909804960607</v>
      </c>
      <c r="F31" s="218">
        <v>31.860996395580283</v>
      </c>
      <c r="G31" s="218">
        <v>26.319730582136856</v>
      </c>
      <c r="H31" s="218">
        <v>100</v>
      </c>
    </row>
    <row r="32" spans="1:8" ht="14.1" customHeight="1" x14ac:dyDescent="0.3">
      <c r="A32" s="591" t="s">
        <v>218</v>
      </c>
      <c r="B32" s="226" t="s">
        <v>61</v>
      </c>
      <c r="C32" s="227">
        <v>18.149880095169536</v>
      </c>
      <c r="D32" s="227">
        <v>8.8235782831739318</v>
      </c>
      <c r="E32" s="227">
        <v>26.437560855821008</v>
      </c>
      <c r="F32" s="227">
        <v>22.764116762974059</v>
      </c>
      <c r="G32" s="227">
        <v>23.824864002861467</v>
      </c>
      <c r="H32" s="227">
        <v>100</v>
      </c>
    </row>
    <row r="33" spans="1:8" ht="14.1" customHeight="1" x14ac:dyDescent="0.3">
      <c r="A33" s="590"/>
      <c r="B33" s="215" t="s">
        <v>62</v>
      </c>
      <c r="C33" s="218">
        <v>7.9630362567891328</v>
      </c>
      <c r="D33" s="218">
        <v>12.227036532967643</v>
      </c>
      <c r="E33" s="218">
        <v>20.678753900844448</v>
      </c>
      <c r="F33" s="218">
        <v>49.391177561729883</v>
      </c>
      <c r="G33" s="218">
        <v>9.739995747668857</v>
      </c>
      <c r="H33" s="218">
        <v>100</v>
      </c>
    </row>
    <row r="34" spans="1:8" ht="14.1" customHeight="1" x14ac:dyDescent="0.3">
      <c r="A34" s="590"/>
      <c r="B34" s="215" t="s">
        <v>63</v>
      </c>
      <c r="C34" s="218">
        <v>9.5832104798316902</v>
      </c>
      <c r="D34" s="218">
        <v>20.26500365917294</v>
      </c>
      <c r="E34" s="218">
        <v>9.5145967700013774</v>
      </c>
      <c r="F34" s="218">
        <v>45.079081184648032</v>
      </c>
      <c r="G34" s="218">
        <v>15.558107906345747</v>
      </c>
      <c r="H34" s="218">
        <v>100</v>
      </c>
    </row>
    <row r="35" spans="1:8" ht="14.1" customHeight="1" x14ac:dyDescent="0.3">
      <c r="A35" s="590"/>
      <c r="B35" s="215" t="s">
        <v>64</v>
      </c>
      <c r="C35" s="218">
        <v>15.220222787092736</v>
      </c>
      <c r="D35" s="218">
        <v>10.888953304424041</v>
      </c>
      <c r="E35" s="218">
        <v>32.712470436680803</v>
      </c>
      <c r="F35" s="218">
        <v>28.702391417871809</v>
      </c>
      <c r="G35" s="218">
        <v>12.475962053930543</v>
      </c>
      <c r="H35" s="218">
        <v>100</v>
      </c>
    </row>
    <row r="36" spans="1:8" ht="14.1" customHeight="1" x14ac:dyDescent="0.3">
      <c r="A36" s="592"/>
      <c r="B36" s="222" t="s">
        <v>65</v>
      </c>
      <c r="C36" s="223">
        <v>21.065002941984751</v>
      </c>
      <c r="D36" s="223">
        <v>8.8906686788325811</v>
      </c>
      <c r="E36" s="223">
        <v>17.221438446381665</v>
      </c>
      <c r="F36" s="223">
        <v>28.904727469121706</v>
      </c>
      <c r="G36" s="223">
        <v>23.918162463679327</v>
      </c>
      <c r="H36" s="223">
        <v>100</v>
      </c>
    </row>
    <row r="37" spans="1:8" ht="14.1" customHeight="1" x14ac:dyDescent="0.3">
      <c r="A37" s="593" t="s">
        <v>163</v>
      </c>
      <c r="B37" s="220" t="s">
        <v>61</v>
      </c>
      <c r="C37" s="221">
        <v>17.202034077051341</v>
      </c>
      <c r="D37" s="221">
        <v>3.0354271528379768</v>
      </c>
      <c r="E37" s="221">
        <v>31.551463344524567</v>
      </c>
      <c r="F37" s="221">
        <v>26.202955460150918</v>
      </c>
      <c r="G37" s="221">
        <v>22.008119965435444</v>
      </c>
      <c r="H37" s="221">
        <v>100</v>
      </c>
    </row>
    <row r="38" spans="1:8" ht="14.1" customHeight="1" x14ac:dyDescent="0.3">
      <c r="A38" s="594"/>
      <c r="B38" s="215" t="s">
        <v>62</v>
      </c>
      <c r="C38" s="218">
        <v>8.9553907420443064</v>
      </c>
      <c r="D38" s="218">
        <v>4.1642144830048657</v>
      </c>
      <c r="E38" s="218">
        <v>29.659146516334566</v>
      </c>
      <c r="F38" s="218">
        <v>46.775366806498162</v>
      </c>
      <c r="G38" s="218">
        <v>10.445881452118009</v>
      </c>
      <c r="H38" s="218">
        <v>100</v>
      </c>
    </row>
    <row r="39" spans="1:8" ht="14.1" customHeight="1" x14ac:dyDescent="0.3">
      <c r="A39" s="594"/>
      <c r="B39" s="215" t="s">
        <v>63</v>
      </c>
      <c r="C39" s="218">
        <v>7.0622454851104202</v>
      </c>
      <c r="D39" s="218">
        <v>9.1866849272862598</v>
      </c>
      <c r="E39" s="218">
        <v>15.256569748727189</v>
      </c>
      <c r="F39" s="218">
        <v>56.818275073497283</v>
      </c>
      <c r="G39" s="218">
        <v>11.676224765379169</v>
      </c>
      <c r="H39" s="218">
        <v>100</v>
      </c>
    </row>
    <row r="40" spans="1:8" ht="14.1" customHeight="1" x14ac:dyDescent="0.3">
      <c r="A40" s="594"/>
      <c r="B40" s="215" t="s">
        <v>64</v>
      </c>
      <c r="C40" s="218">
        <v>9.3095729823283868</v>
      </c>
      <c r="D40" s="218">
        <v>10.525799009345297</v>
      </c>
      <c r="E40" s="218">
        <v>27.179380514860313</v>
      </c>
      <c r="F40" s="218">
        <v>38.135642405634364</v>
      </c>
      <c r="G40" s="218">
        <v>14.849605087831771</v>
      </c>
      <c r="H40" s="218">
        <v>100</v>
      </c>
    </row>
    <row r="41" spans="1:8" ht="14.1" customHeight="1" thickBot="1" x14ac:dyDescent="0.35">
      <c r="A41" s="594"/>
      <c r="B41" s="224" t="s">
        <v>65</v>
      </c>
      <c r="C41" s="225">
        <v>15.378527821010705</v>
      </c>
      <c r="D41" s="225">
        <v>7.3167973441406353</v>
      </c>
      <c r="E41" s="225">
        <v>16.435328385263453</v>
      </c>
      <c r="F41" s="225">
        <v>36.953727944087724</v>
      </c>
      <c r="G41" s="225">
        <v>23.915618505498205</v>
      </c>
      <c r="H41" s="225">
        <v>100</v>
      </c>
    </row>
    <row r="42" spans="1:8" ht="14.1" customHeight="1" x14ac:dyDescent="0.3">
      <c r="A42" s="595" t="s">
        <v>219</v>
      </c>
      <c r="B42" s="215" t="s">
        <v>61</v>
      </c>
      <c r="C42" s="218">
        <v>25.456558869476716</v>
      </c>
      <c r="D42" s="218">
        <v>13.566749884280553</v>
      </c>
      <c r="E42" s="218">
        <v>24.357446330854891</v>
      </c>
      <c r="F42" s="218">
        <v>16.469582857766174</v>
      </c>
      <c r="G42" s="218">
        <v>20.149662057621658</v>
      </c>
      <c r="H42" s="218">
        <v>100</v>
      </c>
    </row>
    <row r="43" spans="1:8" ht="14.1" customHeight="1" x14ac:dyDescent="0.3">
      <c r="A43" s="594"/>
      <c r="B43" s="215" t="s">
        <v>62</v>
      </c>
      <c r="C43" s="218">
        <v>13.339968962161278</v>
      </c>
      <c r="D43" s="218">
        <v>11.312297017811499</v>
      </c>
      <c r="E43" s="218">
        <v>29.663220914957165</v>
      </c>
      <c r="F43" s="218">
        <v>31.939546312244083</v>
      </c>
      <c r="G43" s="218">
        <v>13.744966792824908</v>
      </c>
      <c r="H43" s="218">
        <v>100</v>
      </c>
    </row>
    <row r="44" spans="1:8" ht="14.1" customHeight="1" x14ac:dyDescent="0.3">
      <c r="A44" s="594"/>
      <c r="B44" s="215" t="s">
        <v>63</v>
      </c>
      <c r="C44" s="218">
        <v>10.517867068245348</v>
      </c>
      <c r="D44" s="218">
        <v>17.878302501896684</v>
      </c>
      <c r="E44" s="218">
        <v>16.828663173572242</v>
      </c>
      <c r="F44" s="218">
        <v>39.958126883394456</v>
      </c>
      <c r="G44" s="218">
        <v>14.817040372891196</v>
      </c>
      <c r="H44" s="218">
        <v>100</v>
      </c>
    </row>
    <row r="45" spans="1:8" ht="14.1" customHeight="1" x14ac:dyDescent="0.3">
      <c r="A45" s="594"/>
      <c r="B45" s="215" t="s">
        <v>64</v>
      </c>
      <c r="C45" s="218">
        <v>13.639929686747646</v>
      </c>
      <c r="D45" s="218">
        <v>17.100728424198923</v>
      </c>
      <c r="E45" s="218">
        <v>25.914271681740459</v>
      </c>
      <c r="F45" s="218">
        <v>27.480321246488202</v>
      </c>
      <c r="G45" s="218">
        <v>15.864748960824738</v>
      </c>
      <c r="H45" s="218">
        <v>100</v>
      </c>
    </row>
    <row r="46" spans="1:8" ht="14.1" customHeight="1" thickBot="1" x14ac:dyDescent="0.35">
      <c r="A46" s="596"/>
      <c r="B46" s="216" t="s">
        <v>65</v>
      </c>
      <c r="C46" s="219">
        <v>24.234359585574772</v>
      </c>
      <c r="D46" s="219">
        <v>10.683992622462727</v>
      </c>
      <c r="E46" s="219">
        <v>16.014292108173652</v>
      </c>
      <c r="F46" s="219">
        <v>26.053370508895231</v>
      </c>
      <c r="G46" s="219">
        <v>23.013985174893151</v>
      </c>
      <c r="H46" s="219">
        <v>100</v>
      </c>
    </row>
    <row r="47" spans="1:8" ht="11.1" customHeight="1" thickTop="1" x14ac:dyDescent="0.3">
      <c r="A47" s="638" t="s">
        <v>220</v>
      </c>
      <c r="B47" s="638"/>
      <c r="C47" s="638"/>
      <c r="D47" s="638"/>
      <c r="E47" s="638"/>
      <c r="F47" s="638"/>
      <c r="G47" s="638"/>
      <c r="H47" s="638"/>
    </row>
  </sheetData>
  <mergeCells count="14">
    <mergeCell ref="A1:H1"/>
    <mergeCell ref="A3:A7"/>
    <mergeCell ref="A8:A12"/>
    <mergeCell ref="A13:A17"/>
    <mergeCell ref="A32:A36"/>
    <mergeCell ref="A37:A41"/>
    <mergeCell ref="A42:A46"/>
    <mergeCell ref="A47:H47"/>
    <mergeCell ref="A2:B2"/>
    <mergeCell ref="A26:B26"/>
    <mergeCell ref="A18:A22"/>
    <mergeCell ref="A23:H23"/>
    <mergeCell ref="A25:H25"/>
    <mergeCell ref="A27:A3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5"/>
  <sheetViews>
    <sheetView zoomScaleNormal="100" workbookViewId="0">
      <selection sqref="A1:U1"/>
    </sheetView>
  </sheetViews>
  <sheetFormatPr baseColWidth="10" defaultColWidth="9.109375" defaultRowHeight="14.4" x14ac:dyDescent="0.3"/>
  <cols>
    <col min="1" max="1" width="31.33203125" bestFit="1" customWidth="1"/>
    <col min="2" max="21" width="7.33203125" customWidth="1"/>
  </cols>
  <sheetData>
    <row r="1" spans="1:21" ht="57" customHeight="1" thickBot="1" x14ac:dyDescent="0.35">
      <c r="A1" s="642" t="s">
        <v>400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3"/>
      <c r="U1" s="643"/>
    </row>
    <row r="2" spans="1:21" ht="12.9" customHeight="1" thickTop="1" x14ac:dyDescent="0.3">
      <c r="A2" s="649" t="s">
        <v>271</v>
      </c>
      <c r="B2" s="644" t="s">
        <v>217</v>
      </c>
      <c r="C2" s="644"/>
      <c r="D2" s="644"/>
      <c r="E2" s="644"/>
      <c r="F2" s="644"/>
      <c r="G2" s="645" t="s">
        <v>218</v>
      </c>
      <c r="H2" s="644"/>
      <c r="I2" s="644"/>
      <c r="J2" s="644"/>
      <c r="K2" s="646"/>
      <c r="L2" s="647" t="s">
        <v>163</v>
      </c>
      <c r="M2" s="644"/>
      <c r="N2" s="644"/>
      <c r="O2" s="644"/>
      <c r="P2" s="644"/>
      <c r="Q2" s="648" t="s">
        <v>219</v>
      </c>
      <c r="R2" s="644"/>
      <c r="S2" s="644"/>
      <c r="T2" s="644"/>
      <c r="U2" s="644"/>
    </row>
    <row r="3" spans="1:21" ht="12.9" customHeight="1" thickBot="1" x14ac:dyDescent="0.35">
      <c r="A3" s="650"/>
      <c r="B3" s="243" t="s">
        <v>61</v>
      </c>
      <c r="C3" s="243" t="s">
        <v>62</v>
      </c>
      <c r="D3" s="243" t="s">
        <v>63</v>
      </c>
      <c r="E3" s="243" t="s">
        <v>64</v>
      </c>
      <c r="F3" s="243" t="s">
        <v>65</v>
      </c>
      <c r="G3" s="271" t="s">
        <v>61</v>
      </c>
      <c r="H3" s="243" t="s">
        <v>62</v>
      </c>
      <c r="I3" s="243" t="s">
        <v>63</v>
      </c>
      <c r="J3" s="243" t="s">
        <v>64</v>
      </c>
      <c r="K3" s="247" t="s">
        <v>65</v>
      </c>
      <c r="L3" s="246" t="s">
        <v>61</v>
      </c>
      <c r="M3" s="243" t="s">
        <v>62</v>
      </c>
      <c r="N3" s="243" t="s">
        <v>63</v>
      </c>
      <c r="O3" s="243" t="s">
        <v>64</v>
      </c>
      <c r="P3" s="243" t="s">
        <v>65</v>
      </c>
      <c r="Q3" s="267" t="s">
        <v>61</v>
      </c>
      <c r="R3" s="243" t="s">
        <v>62</v>
      </c>
      <c r="S3" s="243" t="s">
        <v>63</v>
      </c>
      <c r="T3" s="243" t="s">
        <v>64</v>
      </c>
      <c r="U3" s="243" t="s">
        <v>65</v>
      </c>
    </row>
    <row r="4" spans="1:21" ht="16.5" customHeight="1" thickTop="1" x14ac:dyDescent="0.3">
      <c r="A4" s="451" t="s">
        <v>278</v>
      </c>
      <c r="B4" s="454">
        <v>47.093908485921013</v>
      </c>
      <c r="C4" s="454">
        <v>60.743053170006093</v>
      </c>
      <c r="D4" s="454">
        <v>58.311988342652342</v>
      </c>
      <c r="E4" s="454">
        <v>36.763265706398521</v>
      </c>
      <c r="F4" s="454">
        <v>63.262035394298742</v>
      </c>
      <c r="G4" s="455">
        <v>24.374565990766769</v>
      </c>
      <c r="H4" s="454">
        <v>12.764527781338622</v>
      </c>
      <c r="I4" s="454">
        <v>11.549188551311566</v>
      </c>
      <c r="J4" s="454">
        <v>26.363027641313479</v>
      </c>
      <c r="K4" s="456">
        <v>3.0218089537299844</v>
      </c>
      <c r="L4" s="457">
        <v>60.6646189263952</v>
      </c>
      <c r="M4" s="454">
        <v>63.813183859954002</v>
      </c>
      <c r="N4" s="454">
        <v>50.267771953752536</v>
      </c>
      <c r="O4" s="454">
        <v>50.036541287592151</v>
      </c>
      <c r="P4" s="454">
        <v>58.864237252468179</v>
      </c>
      <c r="Q4" s="458">
        <v>82.799920016851161</v>
      </c>
      <c r="R4" s="454">
        <v>79.813636987172529</v>
      </c>
      <c r="S4" s="454">
        <v>77.643675008833881</v>
      </c>
      <c r="T4" s="454">
        <v>86.803430488970321</v>
      </c>
      <c r="U4" s="454">
        <v>84.384136722557699</v>
      </c>
    </row>
    <row r="5" spans="1:21" ht="16.5" customHeight="1" x14ac:dyDescent="0.3">
      <c r="A5" s="451" t="s">
        <v>279</v>
      </c>
      <c r="B5" s="459">
        <v>15.390610195365198</v>
      </c>
      <c r="C5" s="459">
        <v>20.27263347949733</v>
      </c>
      <c r="D5" s="459">
        <v>17.033462704837753</v>
      </c>
      <c r="E5" s="459">
        <v>24.578874986256476</v>
      </c>
      <c r="F5" s="459">
        <v>14.419052109744943</v>
      </c>
      <c r="G5" s="460">
        <v>2.2430970160014425</v>
      </c>
      <c r="H5" s="459">
        <v>1.4263073379685971</v>
      </c>
      <c r="I5" s="459">
        <v>2.7215598339786213</v>
      </c>
      <c r="J5" s="459">
        <v>3.0591277501776335</v>
      </c>
      <c r="K5" s="461">
        <v>0</v>
      </c>
      <c r="L5" s="462">
        <v>9.682463335098813</v>
      </c>
      <c r="M5" s="459">
        <v>18.757858650257564</v>
      </c>
      <c r="N5" s="459">
        <v>16.194330103841068</v>
      </c>
      <c r="O5" s="459">
        <v>20.696076041544998</v>
      </c>
      <c r="P5" s="459">
        <v>12.249566328679451</v>
      </c>
      <c r="Q5" s="463">
        <v>19.340232597817419</v>
      </c>
      <c r="R5" s="459">
        <v>31.875560034787942</v>
      </c>
      <c r="S5" s="459">
        <v>29.117442332195182</v>
      </c>
      <c r="T5" s="459">
        <v>36.291331189558143</v>
      </c>
      <c r="U5" s="459">
        <v>30.43029144993347</v>
      </c>
    </row>
    <row r="6" spans="1:21" ht="16.5" customHeight="1" x14ac:dyDescent="0.3">
      <c r="A6" s="451" t="s">
        <v>280</v>
      </c>
      <c r="B6" s="459">
        <v>6.7362672319213655</v>
      </c>
      <c r="C6" s="459">
        <v>3.7148303599566952</v>
      </c>
      <c r="D6" s="459">
        <v>7.9101332649772944</v>
      </c>
      <c r="E6" s="459">
        <v>10.706910392460909</v>
      </c>
      <c r="F6" s="459">
        <v>9.8979728685321202</v>
      </c>
      <c r="G6" s="460">
        <v>3.7004173114627301</v>
      </c>
      <c r="H6" s="459">
        <v>1.0175737767714017</v>
      </c>
      <c r="I6" s="459">
        <v>2.0306559384939216</v>
      </c>
      <c r="J6" s="459">
        <v>0</v>
      </c>
      <c r="K6" s="461">
        <v>0.86254094038722073</v>
      </c>
      <c r="L6" s="462">
        <v>6.9153087443030472</v>
      </c>
      <c r="M6" s="459">
        <v>2.6937180106598686</v>
      </c>
      <c r="N6" s="459">
        <v>7.2103266130931623</v>
      </c>
      <c r="O6" s="459">
        <v>8.5864971663909948</v>
      </c>
      <c r="P6" s="459">
        <v>9.1624680773863592</v>
      </c>
      <c r="Q6" s="463">
        <v>12.609992254968608</v>
      </c>
      <c r="R6" s="459">
        <v>11.041728414705435</v>
      </c>
      <c r="S6" s="459">
        <v>13.711022696874014</v>
      </c>
      <c r="T6" s="459">
        <v>17.544127349144247</v>
      </c>
      <c r="U6" s="459">
        <v>21.509797198703072</v>
      </c>
    </row>
    <row r="7" spans="1:21" ht="16.5" customHeight="1" x14ac:dyDescent="0.3">
      <c r="A7" s="451" t="s">
        <v>272</v>
      </c>
      <c r="B7" s="459">
        <v>5.4280185896123818</v>
      </c>
      <c r="C7" s="459">
        <v>23.979315542877874</v>
      </c>
      <c r="D7" s="459">
        <v>41.793343439944195</v>
      </c>
      <c r="E7" s="459">
        <v>26.641604127907708</v>
      </c>
      <c r="F7" s="459">
        <v>40.444049983255731</v>
      </c>
      <c r="G7" s="460">
        <v>8.4857912861973244</v>
      </c>
      <c r="H7" s="459">
        <v>4.0848127578295239</v>
      </c>
      <c r="I7" s="459">
        <v>0.50451627447585723</v>
      </c>
      <c r="J7" s="459">
        <v>5.1517353465731928</v>
      </c>
      <c r="K7" s="461">
        <v>0</v>
      </c>
      <c r="L7" s="462">
        <v>5.42801858961238</v>
      </c>
      <c r="M7" s="459">
        <v>16.125361403703025</v>
      </c>
      <c r="N7" s="459">
        <v>22.454095463581051</v>
      </c>
      <c r="O7" s="459">
        <v>18.657906773720651</v>
      </c>
      <c r="P7" s="459">
        <v>19.193076683075951</v>
      </c>
      <c r="Q7" s="463">
        <v>27.553664226215751</v>
      </c>
      <c r="R7" s="459">
        <v>48.424095686373128</v>
      </c>
      <c r="S7" s="459">
        <v>45.19259045672397</v>
      </c>
      <c r="T7" s="459">
        <v>35.593042073259717</v>
      </c>
      <c r="U7" s="459">
        <v>41.005107795638807</v>
      </c>
    </row>
    <row r="8" spans="1:21" ht="16.5" customHeight="1" x14ac:dyDescent="0.3">
      <c r="A8" s="451" t="s">
        <v>273</v>
      </c>
      <c r="B8" s="459">
        <v>44.516735722516415</v>
      </c>
      <c r="C8" s="459">
        <v>42.376089277511589</v>
      </c>
      <c r="D8" s="459">
        <v>44.196805010104917</v>
      </c>
      <c r="E8" s="459">
        <v>30.638132817070336</v>
      </c>
      <c r="F8" s="459">
        <v>36.541176831748842</v>
      </c>
      <c r="G8" s="460">
        <v>1.5621821535014668</v>
      </c>
      <c r="H8" s="459">
        <v>3.6233884754203851</v>
      </c>
      <c r="I8" s="459">
        <v>3.2311344792383672</v>
      </c>
      <c r="J8" s="459">
        <v>8.1428911915443223</v>
      </c>
      <c r="K8" s="461">
        <v>0.89315579647292165</v>
      </c>
      <c r="L8" s="462">
        <v>30.07765722329173</v>
      </c>
      <c r="M8" s="459">
        <v>23.311560442716825</v>
      </c>
      <c r="N8" s="459">
        <v>24.1461195266732</v>
      </c>
      <c r="O8" s="459">
        <v>23.08773247151364</v>
      </c>
      <c r="P8" s="459">
        <v>20.425884289150272</v>
      </c>
      <c r="Q8" s="463">
        <v>39.361808204579042</v>
      </c>
      <c r="R8" s="459">
        <v>38.224132503631239</v>
      </c>
      <c r="S8" s="459">
        <v>32.180351686262057</v>
      </c>
      <c r="T8" s="459">
        <v>32.673177946293919</v>
      </c>
      <c r="U8" s="459">
        <v>33.475647923264837</v>
      </c>
    </row>
    <row r="9" spans="1:21" ht="16.5" customHeight="1" x14ac:dyDescent="0.3">
      <c r="A9" s="451" t="s">
        <v>274</v>
      </c>
      <c r="B9" s="459">
        <v>9.4202307190491261</v>
      </c>
      <c r="C9" s="459">
        <v>0.67752420136242919</v>
      </c>
      <c r="D9" s="459">
        <v>3.0777666765638951</v>
      </c>
      <c r="E9" s="459">
        <v>3.9688684114141464</v>
      </c>
      <c r="F9" s="459">
        <v>2.7090405658903767</v>
      </c>
      <c r="G9" s="460">
        <v>2.1775581229122247</v>
      </c>
      <c r="H9" s="459">
        <v>0</v>
      </c>
      <c r="I9" s="459">
        <v>0.24128183940319275</v>
      </c>
      <c r="J9" s="459">
        <v>2.4472116963772073</v>
      </c>
      <c r="K9" s="461">
        <v>0</v>
      </c>
      <c r="L9" s="462">
        <v>4.108367327527934</v>
      </c>
      <c r="M9" s="459">
        <v>0.67752420136242908</v>
      </c>
      <c r="N9" s="459">
        <v>2.0327574372023482</v>
      </c>
      <c r="O9" s="459">
        <v>2.6489129110059517</v>
      </c>
      <c r="P9" s="459">
        <v>2.063073020037272</v>
      </c>
      <c r="Q9" s="463">
        <v>6.744385533700842</v>
      </c>
      <c r="R9" s="459">
        <v>4.4177499189286307</v>
      </c>
      <c r="S9" s="459">
        <v>8.2635035225515185</v>
      </c>
      <c r="T9" s="459">
        <v>8.931381146995184</v>
      </c>
      <c r="U9" s="459">
        <v>7.2034709259816188</v>
      </c>
    </row>
    <row r="10" spans="1:21" ht="16.5" customHeight="1" x14ac:dyDescent="0.3">
      <c r="A10" s="451" t="s">
        <v>275</v>
      </c>
      <c r="B10" s="459">
        <v>1.3042461923748809</v>
      </c>
      <c r="C10" s="459">
        <v>0.88422110217595828</v>
      </c>
      <c r="D10" s="459">
        <v>1.2804760185568087</v>
      </c>
      <c r="E10" s="459">
        <v>2.7076289945703453</v>
      </c>
      <c r="F10" s="459">
        <v>1.8613507178557178</v>
      </c>
      <c r="G10" s="460">
        <v>0.18756244720033083</v>
      </c>
      <c r="H10" s="459">
        <v>0.48040041484311802</v>
      </c>
      <c r="I10" s="459">
        <v>0</v>
      </c>
      <c r="J10" s="459">
        <v>0.79429987322624618</v>
      </c>
      <c r="K10" s="461">
        <v>0</v>
      </c>
      <c r="L10" s="462">
        <v>0</v>
      </c>
      <c r="M10" s="459">
        <v>0.48040041484311802</v>
      </c>
      <c r="N10" s="459">
        <v>0</v>
      </c>
      <c r="O10" s="459">
        <v>0.83713806531617241</v>
      </c>
      <c r="P10" s="459">
        <v>0</v>
      </c>
      <c r="Q10" s="463">
        <v>1.7374778008292013</v>
      </c>
      <c r="R10" s="459">
        <v>3.2561547273267601</v>
      </c>
      <c r="S10" s="459">
        <v>2.9970658483675043</v>
      </c>
      <c r="T10" s="459">
        <v>2.4239056548744631</v>
      </c>
      <c r="U10" s="459">
        <v>3.2381586815059338</v>
      </c>
    </row>
    <row r="11" spans="1:21" ht="16.5" customHeight="1" x14ac:dyDescent="0.3">
      <c r="A11" s="451" t="s">
        <v>276</v>
      </c>
      <c r="B11" s="459">
        <v>35.46967726821827</v>
      </c>
      <c r="C11" s="459">
        <v>29.564423042542863</v>
      </c>
      <c r="D11" s="459">
        <v>37.598606720598497</v>
      </c>
      <c r="E11" s="459">
        <v>30.464713333716048</v>
      </c>
      <c r="F11" s="459">
        <v>32.693862623942586</v>
      </c>
      <c r="G11" s="460">
        <v>6.7088793575646903</v>
      </c>
      <c r="H11" s="459">
        <v>2.3075522512980005</v>
      </c>
      <c r="I11" s="459">
        <v>2.8439594691174328</v>
      </c>
      <c r="J11" s="459">
        <v>3.5122116077366905</v>
      </c>
      <c r="K11" s="461">
        <v>2.7820829826637645</v>
      </c>
      <c r="L11" s="462">
        <v>24.105248495956378</v>
      </c>
      <c r="M11" s="459">
        <v>22.638769533975122</v>
      </c>
      <c r="N11" s="459">
        <v>20.688321320271474</v>
      </c>
      <c r="O11" s="459">
        <v>19.717237223939911</v>
      </c>
      <c r="P11" s="459">
        <v>22.931300091379953</v>
      </c>
      <c r="Q11" s="463">
        <v>28.971914469983179</v>
      </c>
      <c r="R11" s="459">
        <v>35.542265778480484</v>
      </c>
      <c r="S11" s="459">
        <v>34.879690842269646</v>
      </c>
      <c r="T11" s="459">
        <v>34.908742143750914</v>
      </c>
      <c r="U11" s="459">
        <v>34.672948461166094</v>
      </c>
    </row>
    <row r="12" spans="1:21" ht="16.5" customHeight="1" x14ac:dyDescent="0.3">
      <c r="A12" s="451" t="s">
        <v>281</v>
      </c>
      <c r="B12" s="459">
        <v>13.540044405215221</v>
      </c>
      <c r="C12" s="459">
        <v>21.66229305389291</v>
      </c>
      <c r="D12" s="459">
        <v>27.50262667627517</v>
      </c>
      <c r="E12" s="459">
        <v>30.040399169139022</v>
      </c>
      <c r="F12" s="459">
        <v>23.280857970394869</v>
      </c>
      <c r="G12" s="460">
        <v>9.6690653985990078</v>
      </c>
      <c r="H12" s="459">
        <v>7.867537796450204</v>
      </c>
      <c r="I12" s="459">
        <v>9.6302510211674068</v>
      </c>
      <c r="J12" s="459">
        <v>5.8199272490519167</v>
      </c>
      <c r="K12" s="461">
        <v>5.3816172573353915</v>
      </c>
      <c r="L12" s="462">
        <v>19.058321460578814</v>
      </c>
      <c r="M12" s="459">
        <v>19.022624850689752</v>
      </c>
      <c r="N12" s="459">
        <v>21.770460985035886</v>
      </c>
      <c r="O12" s="459">
        <v>23.551841142241052</v>
      </c>
      <c r="P12" s="459">
        <v>19.980521098068831</v>
      </c>
      <c r="Q12" s="463">
        <v>26.131908115462892</v>
      </c>
      <c r="R12" s="459">
        <v>24.546135369857673</v>
      </c>
      <c r="S12" s="459">
        <v>31.978534289861337</v>
      </c>
      <c r="T12" s="459">
        <v>31.361939240450909</v>
      </c>
      <c r="U12" s="459">
        <v>28.126739183819527</v>
      </c>
    </row>
    <row r="13" spans="1:21" ht="16.5" customHeight="1" x14ac:dyDescent="0.3">
      <c r="A13" s="451" t="s">
        <v>282</v>
      </c>
      <c r="B13" s="459">
        <v>5.9482902181319863</v>
      </c>
      <c r="C13" s="459">
        <v>7.1153654237762129</v>
      </c>
      <c r="D13" s="459">
        <v>16.198079301851465</v>
      </c>
      <c r="E13" s="459">
        <v>11.296553074665312</v>
      </c>
      <c r="F13" s="459">
        <v>16.002701391385209</v>
      </c>
      <c r="G13" s="460">
        <v>1.4312962145520665</v>
      </c>
      <c r="H13" s="459">
        <v>0.84389895566370088</v>
      </c>
      <c r="I13" s="459">
        <v>1.4734436007119591</v>
      </c>
      <c r="J13" s="459">
        <v>2.0444373985926454</v>
      </c>
      <c r="K13" s="461">
        <v>0.75456580645691851</v>
      </c>
      <c r="L13" s="462">
        <v>2.7809705806573741</v>
      </c>
      <c r="M13" s="459">
        <v>3.946554877352463</v>
      </c>
      <c r="N13" s="459">
        <v>9.2612884221857747</v>
      </c>
      <c r="O13" s="459">
        <v>8.5871334474232945</v>
      </c>
      <c r="P13" s="459">
        <v>10.556953539069308</v>
      </c>
      <c r="Q13" s="463">
        <v>5.5875753823090939</v>
      </c>
      <c r="R13" s="459">
        <v>10.357215470536158</v>
      </c>
      <c r="S13" s="459">
        <v>18.004169167617949</v>
      </c>
      <c r="T13" s="459">
        <v>15.769775588868379</v>
      </c>
      <c r="U13" s="459">
        <v>16.614119098734101</v>
      </c>
    </row>
    <row r="14" spans="1:21" ht="16.5" customHeight="1" x14ac:dyDescent="0.3">
      <c r="A14" s="451" t="s">
        <v>283</v>
      </c>
      <c r="B14" s="459">
        <v>3.7838938007691705</v>
      </c>
      <c r="C14" s="459">
        <v>3.3079248552468701</v>
      </c>
      <c r="D14" s="459">
        <v>1.8540977581267759</v>
      </c>
      <c r="E14" s="459">
        <v>2.6954988957200823</v>
      </c>
      <c r="F14" s="459">
        <v>0.9580121863086587</v>
      </c>
      <c r="G14" s="460">
        <v>0.9221605644966876</v>
      </c>
      <c r="H14" s="459">
        <v>2.2147802852251375E-2</v>
      </c>
      <c r="I14" s="459">
        <v>1.1097762691534346E-2</v>
      </c>
      <c r="J14" s="459">
        <v>0.72475118196527799</v>
      </c>
      <c r="K14" s="461">
        <v>0</v>
      </c>
      <c r="L14" s="462">
        <v>1.3009807593984599</v>
      </c>
      <c r="M14" s="459">
        <v>0.57497102700662883</v>
      </c>
      <c r="N14" s="459">
        <v>0.88562364618656186</v>
      </c>
      <c r="O14" s="459">
        <v>2.3072688858613124</v>
      </c>
      <c r="P14" s="459">
        <v>0.82578847834762459</v>
      </c>
      <c r="Q14" s="463">
        <v>4.9895719826303555</v>
      </c>
      <c r="R14" s="459">
        <v>2.0267244205163615</v>
      </c>
      <c r="S14" s="459">
        <v>2.6447257357757095</v>
      </c>
      <c r="T14" s="459">
        <v>4.9825242155071194</v>
      </c>
      <c r="U14" s="459">
        <v>3.0589074416329147</v>
      </c>
    </row>
    <row r="15" spans="1:21" ht="16.5" customHeight="1" x14ac:dyDescent="0.3">
      <c r="A15" s="451" t="s">
        <v>284</v>
      </c>
      <c r="B15" s="459">
        <v>1.2271041367575293</v>
      </c>
      <c r="C15" s="459">
        <v>0.87540667941927075</v>
      </c>
      <c r="D15" s="459">
        <v>1.6025404566908441</v>
      </c>
      <c r="E15" s="459">
        <v>0.59501350198111558</v>
      </c>
      <c r="F15" s="459">
        <v>1.8219093592729205</v>
      </c>
      <c r="G15" s="460">
        <v>0.18336773841347062</v>
      </c>
      <c r="H15" s="459">
        <v>0.12279380805681804</v>
      </c>
      <c r="I15" s="459">
        <v>0.30513100939602705</v>
      </c>
      <c r="J15" s="459">
        <v>0.1392223463205676</v>
      </c>
      <c r="K15" s="461">
        <v>0</v>
      </c>
      <c r="L15" s="462">
        <v>0.83104343003071302</v>
      </c>
      <c r="M15" s="459">
        <v>0.58161045824039803</v>
      </c>
      <c r="N15" s="459">
        <v>0.41061063922478963</v>
      </c>
      <c r="O15" s="459">
        <v>0.31038862822898311</v>
      </c>
      <c r="P15" s="459">
        <v>1.2399010003500925</v>
      </c>
      <c r="Q15" s="463">
        <v>3.1957498454202096</v>
      </c>
      <c r="R15" s="459">
        <v>2.1252939346892523</v>
      </c>
      <c r="S15" s="459">
        <v>3.5381874799326765</v>
      </c>
      <c r="T15" s="459">
        <v>2.2586651456563032</v>
      </c>
      <c r="U15" s="459">
        <v>4.1324747300689921</v>
      </c>
    </row>
    <row r="16" spans="1:21" ht="16.5" customHeight="1" x14ac:dyDescent="0.3">
      <c r="A16" s="451" t="s">
        <v>285</v>
      </c>
      <c r="B16" s="459">
        <v>2.8034821504385365</v>
      </c>
      <c r="C16" s="459">
        <v>3.4162484576414869</v>
      </c>
      <c r="D16" s="459">
        <v>1.3779041300983268</v>
      </c>
      <c r="E16" s="459">
        <v>1.2367946431989174</v>
      </c>
      <c r="F16" s="459">
        <v>1.687857399305229</v>
      </c>
      <c r="G16" s="460">
        <v>0.85947159046581145</v>
      </c>
      <c r="H16" s="459">
        <v>1.6382288511742549</v>
      </c>
      <c r="I16" s="459">
        <v>0.97215023415387558</v>
      </c>
      <c r="J16" s="459">
        <v>0.46880033531671567</v>
      </c>
      <c r="K16" s="461">
        <v>0.2739536839582436</v>
      </c>
      <c r="L16" s="462">
        <v>1.1498224764349447</v>
      </c>
      <c r="M16" s="459">
        <v>1.0112240145030984</v>
      </c>
      <c r="N16" s="459">
        <v>0.81764978996649518</v>
      </c>
      <c r="O16" s="459">
        <v>0.88603961230521033</v>
      </c>
      <c r="P16" s="459">
        <v>0.74145516759374341</v>
      </c>
      <c r="Q16" s="463">
        <v>3.338953996150587</v>
      </c>
      <c r="R16" s="459">
        <v>4.3618238021327569</v>
      </c>
      <c r="S16" s="459">
        <v>4.2610572905967139</v>
      </c>
      <c r="T16" s="459">
        <v>3.9277865648359285</v>
      </c>
      <c r="U16" s="459">
        <v>4.1585001163251238</v>
      </c>
    </row>
    <row r="17" spans="1:21" ht="16.5" customHeight="1" x14ac:dyDescent="0.3">
      <c r="A17" s="451" t="s">
        <v>286</v>
      </c>
      <c r="B17" s="459">
        <v>4.0979147194240433</v>
      </c>
      <c r="C17" s="459">
        <v>5.7902334474932466</v>
      </c>
      <c r="D17" s="459">
        <v>3.5360006963339421</v>
      </c>
      <c r="E17" s="459">
        <v>2.9156125258803827</v>
      </c>
      <c r="F17" s="459">
        <v>6.2455140274804952</v>
      </c>
      <c r="G17" s="460">
        <v>2.2249589120393698</v>
      </c>
      <c r="H17" s="459">
        <v>2.5929357116476091</v>
      </c>
      <c r="I17" s="459">
        <v>0.99853060635322377</v>
      </c>
      <c r="J17" s="459">
        <v>1.2838601690414779</v>
      </c>
      <c r="K17" s="461">
        <v>0.7014589507566763</v>
      </c>
      <c r="L17" s="462">
        <v>2.4445844007029622</v>
      </c>
      <c r="M17" s="459">
        <v>3.069840317386018</v>
      </c>
      <c r="N17" s="459">
        <v>1.5704981378931702</v>
      </c>
      <c r="O17" s="459">
        <v>1.5774775458124939</v>
      </c>
      <c r="P17" s="459">
        <v>3.0051313920366174</v>
      </c>
      <c r="Q17" s="463">
        <v>7.987628480877305</v>
      </c>
      <c r="R17" s="459">
        <v>11.696310722647899</v>
      </c>
      <c r="S17" s="459">
        <v>8.1453960325651131</v>
      </c>
      <c r="T17" s="459">
        <v>5.3473615155391032</v>
      </c>
      <c r="U17" s="459">
        <v>11.307856167305992</v>
      </c>
    </row>
    <row r="18" spans="1:21" ht="16.5" customHeight="1" x14ac:dyDescent="0.3">
      <c r="A18" s="451" t="s">
        <v>277</v>
      </c>
      <c r="B18" s="459">
        <v>34.982075065027395</v>
      </c>
      <c r="C18" s="459">
        <v>38.562394239651361</v>
      </c>
      <c r="D18" s="459">
        <v>47.637493492948082</v>
      </c>
      <c r="E18" s="459">
        <v>42.120525485016714</v>
      </c>
      <c r="F18" s="459">
        <v>36.168714529101912</v>
      </c>
      <c r="G18" s="460">
        <v>4.4813259722579808</v>
      </c>
      <c r="H18" s="459">
        <v>3.7033724705609887</v>
      </c>
      <c r="I18" s="459">
        <v>18.724092326938155</v>
      </c>
      <c r="J18" s="459">
        <v>6.9786457273165041</v>
      </c>
      <c r="K18" s="461">
        <v>7.471292362970587</v>
      </c>
      <c r="L18" s="462">
        <v>34.47270242261996</v>
      </c>
      <c r="M18" s="459">
        <v>37.331525236736219</v>
      </c>
      <c r="N18" s="459">
        <v>47.187535656161394</v>
      </c>
      <c r="O18" s="459">
        <v>37.152117614253562</v>
      </c>
      <c r="P18" s="459">
        <v>34.038871442663812</v>
      </c>
      <c r="Q18" s="463">
        <v>51.119539725873331</v>
      </c>
      <c r="R18" s="459">
        <v>59.605634704867661</v>
      </c>
      <c r="S18" s="459">
        <v>67.215935006422143</v>
      </c>
      <c r="T18" s="459">
        <v>54.655553245402977</v>
      </c>
      <c r="U18" s="459">
        <v>62.568536300342771</v>
      </c>
    </row>
    <row r="19" spans="1:21" ht="16.5" customHeight="1" thickBot="1" x14ac:dyDescent="0.35">
      <c r="A19" s="452" t="s">
        <v>287</v>
      </c>
      <c r="B19" s="459">
        <v>14.591003530065768</v>
      </c>
      <c r="C19" s="459">
        <v>25.034277176154429</v>
      </c>
      <c r="D19" s="459">
        <v>5.1714153230265776</v>
      </c>
      <c r="E19" s="459">
        <v>10.96457397985178</v>
      </c>
      <c r="F19" s="459">
        <v>8.0624408374654912</v>
      </c>
      <c r="G19" s="460">
        <v>0</v>
      </c>
      <c r="H19" s="459">
        <v>5.1261258747851377</v>
      </c>
      <c r="I19" s="459">
        <v>3.6076024623702354</v>
      </c>
      <c r="J19" s="459">
        <v>0.80177638393788186</v>
      </c>
      <c r="K19" s="461">
        <v>0.70882203643227537</v>
      </c>
      <c r="L19" s="462">
        <v>7.3828363317965886</v>
      </c>
      <c r="M19" s="459">
        <v>18.193711728373437</v>
      </c>
      <c r="N19" s="459">
        <v>2.8132308303288793</v>
      </c>
      <c r="O19" s="459">
        <v>7.094891461529687</v>
      </c>
      <c r="P19" s="459">
        <v>5.084956296808901</v>
      </c>
      <c r="Q19" s="463">
        <v>10.817511891829078</v>
      </c>
      <c r="R19" s="459">
        <v>21.307550000478255</v>
      </c>
      <c r="S19" s="459">
        <v>15.094352026935379</v>
      </c>
      <c r="T19" s="459">
        <v>13.180417619167468</v>
      </c>
      <c r="U19" s="459">
        <v>10.823625216302259</v>
      </c>
    </row>
    <row r="20" spans="1:21" ht="16.5" customHeight="1" thickBot="1" x14ac:dyDescent="0.35">
      <c r="A20" s="453" t="s">
        <v>120</v>
      </c>
      <c r="B20" s="464">
        <v>5.6639020932687929</v>
      </c>
      <c r="C20" s="464">
        <v>7.2624365667372803</v>
      </c>
      <c r="D20" s="464">
        <v>8.1798432395376111</v>
      </c>
      <c r="E20" s="464">
        <v>7.0529277112487119</v>
      </c>
      <c r="F20" s="464">
        <v>7.9809125852288147</v>
      </c>
      <c r="G20" s="465">
        <v>1.5261002068865537</v>
      </c>
      <c r="H20" s="464">
        <v>1.4320802363610572</v>
      </c>
      <c r="I20" s="464">
        <v>1.9962950759564029</v>
      </c>
      <c r="J20" s="464">
        <v>1.5942557277113416</v>
      </c>
      <c r="K20" s="466">
        <v>0.90221737729435869</v>
      </c>
      <c r="L20" s="467">
        <v>4.1689290000348063</v>
      </c>
      <c r="M20" s="464">
        <v>5.2824693809617385</v>
      </c>
      <c r="N20" s="464">
        <v>5.9031964178640015</v>
      </c>
      <c r="O20" s="464">
        <v>5.7205861579164168</v>
      </c>
      <c r="P20" s="464">
        <v>6.0660551798158995</v>
      </c>
      <c r="Q20" s="468">
        <v>8.1638242447283194</v>
      </c>
      <c r="R20" s="464">
        <v>10.050948856637735</v>
      </c>
      <c r="S20" s="464">
        <v>11.489304728112625</v>
      </c>
      <c r="T20" s="464">
        <v>10.759007138854402</v>
      </c>
      <c r="U20" s="464">
        <v>12.519467183104089</v>
      </c>
    </row>
    <row r="21" spans="1:21" ht="11.1" customHeight="1" thickTop="1" x14ac:dyDescent="0.3">
      <c r="A21" s="651" t="s">
        <v>220</v>
      </c>
      <c r="B21" s="651"/>
      <c r="C21" s="651"/>
      <c r="D21" s="651"/>
      <c r="E21" s="651"/>
      <c r="F21" s="651"/>
      <c r="G21" s="651"/>
      <c r="H21" s="651"/>
      <c r="I21" s="651"/>
      <c r="J21" s="651"/>
      <c r="K21" s="651"/>
      <c r="L21" s="651"/>
      <c r="M21" s="651"/>
      <c r="N21" s="651"/>
      <c r="O21" s="651"/>
      <c r="P21" s="651"/>
      <c r="Q21" s="651"/>
      <c r="R21" s="651"/>
      <c r="S21" s="651"/>
      <c r="T21" s="651"/>
      <c r="U21" s="651"/>
    </row>
    <row r="23" spans="1:21" ht="57" customHeight="1" thickBot="1" x14ac:dyDescent="0.35">
      <c r="A23" s="642" t="s">
        <v>401</v>
      </c>
      <c r="B23" s="643"/>
      <c r="C23" s="643"/>
      <c r="D23" s="643"/>
      <c r="E23" s="643"/>
      <c r="F23" s="643"/>
      <c r="G23" s="643"/>
      <c r="H23" s="643"/>
      <c r="I23" s="643"/>
      <c r="J23" s="643"/>
      <c r="K23" s="643"/>
      <c r="L23" s="643"/>
      <c r="M23" s="643"/>
      <c r="N23" s="643"/>
      <c r="O23" s="643"/>
      <c r="P23" s="643"/>
      <c r="Q23" s="643"/>
      <c r="R23" s="643"/>
      <c r="S23" s="643"/>
      <c r="T23" s="643"/>
      <c r="U23" s="643"/>
    </row>
    <row r="24" spans="1:21" ht="12.9" customHeight="1" thickTop="1" x14ac:dyDescent="0.3">
      <c r="A24" s="649" t="s">
        <v>271</v>
      </c>
      <c r="B24" s="644" t="s">
        <v>217</v>
      </c>
      <c r="C24" s="644"/>
      <c r="D24" s="644"/>
      <c r="E24" s="644"/>
      <c r="F24" s="644"/>
      <c r="G24" s="645" t="s">
        <v>218</v>
      </c>
      <c r="H24" s="644"/>
      <c r="I24" s="644"/>
      <c r="J24" s="644"/>
      <c r="K24" s="646"/>
      <c r="L24" s="647" t="s">
        <v>163</v>
      </c>
      <c r="M24" s="644"/>
      <c r="N24" s="644"/>
      <c r="O24" s="644"/>
      <c r="P24" s="644"/>
      <c r="Q24" s="648" t="s">
        <v>219</v>
      </c>
      <c r="R24" s="644"/>
      <c r="S24" s="644"/>
      <c r="T24" s="644"/>
      <c r="U24" s="644"/>
    </row>
    <row r="25" spans="1:21" ht="12.9" customHeight="1" thickBot="1" x14ac:dyDescent="0.35">
      <c r="A25" s="650"/>
      <c r="B25" s="243" t="s">
        <v>61</v>
      </c>
      <c r="C25" s="243" t="s">
        <v>62</v>
      </c>
      <c r="D25" s="243" t="s">
        <v>63</v>
      </c>
      <c r="E25" s="243" t="s">
        <v>64</v>
      </c>
      <c r="F25" s="243" t="s">
        <v>65</v>
      </c>
      <c r="G25" s="271" t="s">
        <v>61</v>
      </c>
      <c r="H25" s="243" t="s">
        <v>62</v>
      </c>
      <c r="I25" s="243" t="s">
        <v>63</v>
      </c>
      <c r="J25" s="243" t="s">
        <v>64</v>
      </c>
      <c r="K25" s="247" t="s">
        <v>65</v>
      </c>
      <c r="L25" s="246" t="s">
        <v>61</v>
      </c>
      <c r="M25" s="243" t="s">
        <v>62</v>
      </c>
      <c r="N25" s="243" t="s">
        <v>63</v>
      </c>
      <c r="O25" s="243" t="s">
        <v>64</v>
      </c>
      <c r="P25" s="243" t="s">
        <v>65</v>
      </c>
      <c r="Q25" s="267" t="s">
        <v>61</v>
      </c>
      <c r="R25" s="243" t="s">
        <v>62</v>
      </c>
      <c r="S25" s="243" t="s">
        <v>63</v>
      </c>
      <c r="T25" s="243" t="s">
        <v>64</v>
      </c>
      <c r="U25" s="243" t="s">
        <v>65</v>
      </c>
    </row>
    <row r="26" spans="1:21" ht="14.25" customHeight="1" thickTop="1" x14ac:dyDescent="0.3">
      <c r="A26" s="252" t="s">
        <v>278</v>
      </c>
      <c r="B26" s="469">
        <v>5.0624356686477672</v>
      </c>
      <c r="C26" s="469">
        <v>7.0663031299644015</v>
      </c>
      <c r="D26" s="469">
        <v>5.182422642071371</v>
      </c>
      <c r="E26" s="469">
        <v>6.3571873931879086</v>
      </c>
      <c r="F26" s="469">
        <v>7.241995823200817</v>
      </c>
      <c r="G26" s="470">
        <v>9.7244345938293009</v>
      </c>
      <c r="H26" s="469">
        <v>7.5303541294683303</v>
      </c>
      <c r="I26" s="469">
        <v>4.2057813869045644</v>
      </c>
      <c r="J26" s="469">
        <v>20.167759882664363</v>
      </c>
      <c r="K26" s="471">
        <v>3.0600144638042956</v>
      </c>
      <c r="L26" s="472">
        <v>8.8597505518650834</v>
      </c>
      <c r="M26" s="469">
        <v>10.205902704468626</v>
      </c>
      <c r="N26" s="469">
        <v>6.1904520062125323</v>
      </c>
      <c r="O26" s="469">
        <v>10.667609612559822</v>
      </c>
      <c r="P26" s="469">
        <v>8.8656958384941973</v>
      </c>
      <c r="Q26" s="473">
        <v>6.1751397448459127</v>
      </c>
      <c r="R26" s="469">
        <v>6.7088493056139713</v>
      </c>
      <c r="S26" s="469">
        <v>4.9128363006880429</v>
      </c>
      <c r="T26" s="469">
        <v>9.8397724712748555</v>
      </c>
      <c r="U26" s="469">
        <v>6.1580417486396968</v>
      </c>
    </row>
    <row r="27" spans="1:21" ht="14.25" customHeight="1" x14ac:dyDescent="0.3">
      <c r="A27" s="252" t="s">
        <v>279</v>
      </c>
      <c r="B27" s="474">
        <v>2.9641448570584421</v>
      </c>
      <c r="C27" s="474">
        <v>3.7022378474331838</v>
      </c>
      <c r="D27" s="474">
        <v>5.0375952301796572</v>
      </c>
      <c r="E27" s="474">
        <v>5.0362007840314149</v>
      </c>
      <c r="F27" s="474">
        <v>3.6654665859302118</v>
      </c>
      <c r="G27" s="475">
        <v>1.6033352057299517</v>
      </c>
      <c r="H27" s="474">
        <v>1.3209374864196002</v>
      </c>
      <c r="I27" s="474">
        <v>3.2980592780136626</v>
      </c>
      <c r="J27" s="474">
        <v>2.7730014450841201</v>
      </c>
      <c r="K27" s="476">
        <v>0</v>
      </c>
      <c r="L27" s="477">
        <v>2.5334986937341681</v>
      </c>
      <c r="M27" s="474">
        <v>4.709586416903222</v>
      </c>
      <c r="N27" s="474">
        <v>6.636529967532895</v>
      </c>
      <c r="O27" s="474">
        <v>5.228269292626849</v>
      </c>
      <c r="P27" s="474">
        <v>4.09693868788752</v>
      </c>
      <c r="Q27" s="478">
        <v>2.584207418584449</v>
      </c>
      <c r="R27" s="474">
        <v>4.2061742509191111</v>
      </c>
      <c r="S27" s="474">
        <v>6.1309077530854443</v>
      </c>
      <c r="T27" s="474">
        <v>4.8746245482477777</v>
      </c>
      <c r="U27" s="474">
        <v>4.9313448434744949</v>
      </c>
    </row>
    <row r="28" spans="1:21" ht="14.25" customHeight="1" x14ac:dyDescent="0.3">
      <c r="A28" s="252" t="s">
        <v>280</v>
      </c>
      <c r="B28" s="474">
        <v>1.8246128106190898</v>
      </c>
      <c r="C28" s="474">
        <v>1.1589491892864685</v>
      </c>
      <c r="D28" s="474">
        <v>2.1679458728853551</v>
      </c>
      <c r="E28" s="474">
        <v>5.0338104443742742</v>
      </c>
      <c r="F28" s="474">
        <v>3.1720583382465777</v>
      </c>
      <c r="G28" s="475">
        <v>3.7199302985150888</v>
      </c>
      <c r="H28" s="474">
        <v>1.6099274938408472</v>
      </c>
      <c r="I28" s="474">
        <v>2.2804535230681737</v>
      </c>
      <c r="J28" s="474">
        <v>0</v>
      </c>
      <c r="K28" s="476">
        <v>2.4452090318467699</v>
      </c>
      <c r="L28" s="477">
        <v>2.5448033360232039</v>
      </c>
      <c r="M28" s="474">
        <v>1.1553748337260017</v>
      </c>
      <c r="N28" s="474">
        <v>2.7382766275887716</v>
      </c>
      <c r="O28" s="474">
        <v>4.9771143873131081</v>
      </c>
      <c r="P28" s="474">
        <v>3.8632568109644847</v>
      </c>
      <c r="Q28" s="478">
        <v>2.3696724698135032</v>
      </c>
      <c r="R28" s="474">
        <v>2.4890737211068541</v>
      </c>
      <c r="S28" s="474">
        <v>2.6753814837092063</v>
      </c>
      <c r="T28" s="474">
        <v>5.4070663338182001</v>
      </c>
      <c r="U28" s="474">
        <v>4.3943832496172268</v>
      </c>
    </row>
    <row r="29" spans="1:21" ht="14.25" customHeight="1" x14ac:dyDescent="0.3">
      <c r="A29" s="252" t="s">
        <v>272</v>
      </c>
      <c r="B29" s="474">
        <v>0.19681505733593593</v>
      </c>
      <c r="C29" s="474">
        <v>0.7628104607595726</v>
      </c>
      <c r="D29" s="474">
        <v>2.4182693188933522</v>
      </c>
      <c r="E29" s="474">
        <v>1.9988476306792957</v>
      </c>
      <c r="F29" s="474">
        <v>2.2081968182651055</v>
      </c>
      <c r="G29" s="475">
        <v>1.1419366896988372</v>
      </c>
      <c r="H29" s="474">
        <v>0.65897207677456682</v>
      </c>
      <c r="I29" s="474">
        <v>0.11961701911525138</v>
      </c>
      <c r="J29" s="474">
        <v>1.7099535377876052</v>
      </c>
      <c r="K29" s="476">
        <v>0</v>
      </c>
      <c r="L29" s="477">
        <v>0.26739270810860993</v>
      </c>
      <c r="M29" s="474">
        <v>0.7052363321726971</v>
      </c>
      <c r="N29" s="474">
        <v>1.8003247908655453</v>
      </c>
      <c r="O29" s="474">
        <v>1.7258821592334161</v>
      </c>
      <c r="P29" s="474">
        <v>1.3787132116221585</v>
      </c>
      <c r="Q29" s="478">
        <v>0.69313598684490474</v>
      </c>
      <c r="R29" s="474">
        <v>1.1130551041783825</v>
      </c>
      <c r="S29" s="474">
        <v>1.8617270917825886</v>
      </c>
      <c r="T29" s="474">
        <v>1.7505787963456247</v>
      </c>
      <c r="U29" s="474">
        <v>1.4272097606660641</v>
      </c>
    </row>
    <row r="30" spans="1:21" ht="14.25" customHeight="1" x14ac:dyDescent="0.3">
      <c r="A30" s="252" t="s">
        <v>273</v>
      </c>
      <c r="B30" s="474">
        <v>5.4351992137967748</v>
      </c>
      <c r="C30" s="474">
        <v>3.0412629218850347</v>
      </c>
      <c r="D30" s="474">
        <v>5.6511527659235528</v>
      </c>
      <c r="E30" s="474">
        <v>4.7680701908984675</v>
      </c>
      <c r="F30" s="474">
        <v>4.5029787206242737</v>
      </c>
      <c r="G30" s="475">
        <v>0.70787490071682246</v>
      </c>
      <c r="H30" s="474">
        <v>1.3187515765612925</v>
      </c>
      <c r="I30" s="474">
        <v>1.6928615900628912</v>
      </c>
      <c r="J30" s="474">
        <v>5.6062237096205125</v>
      </c>
      <c r="K30" s="476">
        <v>0.97361207648610382</v>
      </c>
      <c r="L30" s="477">
        <v>4.9891596311315185</v>
      </c>
      <c r="M30" s="474">
        <v>2.3001163311571715</v>
      </c>
      <c r="N30" s="474">
        <v>4.2781032854106957</v>
      </c>
      <c r="O30" s="474">
        <v>4.4298653803399715</v>
      </c>
      <c r="P30" s="474">
        <v>3.311649988181554</v>
      </c>
      <c r="Q30" s="478">
        <v>3.3341818827461642</v>
      </c>
      <c r="R30" s="474">
        <v>1.9821933698994236</v>
      </c>
      <c r="S30" s="474">
        <v>2.9294641720817434</v>
      </c>
      <c r="T30" s="474">
        <v>3.3332582330182334</v>
      </c>
      <c r="U30" s="474">
        <v>2.629741525025437</v>
      </c>
    </row>
    <row r="31" spans="1:21" ht="14.25" customHeight="1" x14ac:dyDescent="0.3">
      <c r="A31" s="252" t="s">
        <v>274</v>
      </c>
      <c r="B31" s="474">
        <v>1.4390219598211096</v>
      </c>
      <c r="C31" s="474">
        <v>0.10582056149325166</v>
      </c>
      <c r="D31" s="474">
        <v>0.52999803775617493</v>
      </c>
      <c r="E31" s="474">
        <v>0.7520903646279683</v>
      </c>
      <c r="F31" s="474">
        <v>0.64009797945496183</v>
      </c>
      <c r="G31" s="475">
        <v>1.2345489772366649</v>
      </c>
      <c r="H31" s="474">
        <v>0</v>
      </c>
      <c r="I31" s="474">
        <v>0.17024856062513471</v>
      </c>
      <c r="J31" s="474">
        <v>2.0515698642565443</v>
      </c>
      <c r="K31" s="476">
        <v>0</v>
      </c>
      <c r="L31" s="477">
        <v>0.85264134356116905</v>
      </c>
      <c r="M31" s="474">
        <v>0.14548406434138927</v>
      </c>
      <c r="N31" s="474">
        <v>0.4850448236843774</v>
      </c>
      <c r="O31" s="474">
        <v>0.61887067822448016</v>
      </c>
      <c r="P31" s="474">
        <v>0.64134504688673177</v>
      </c>
      <c r="Q31" s="478">
        <v>0.71477665716005823</v>
      </c>
      <c r="R31" s="474">
        <v>0.49856486005055295</v>
      </c>
      <c r="S31" s="474">
        <v>1.0131039709806129</v>
      </c>
      <c r="T31" s="474">
        <v>1.1094792517098879</v>
      </c>
      <c r="U31" s="474">
        <v>1.0850242971800024</v>
      </c>
    </row>
    <row r="32" spans="1:21" ht="14.25" customHeight="1" x14ac:dyDescent="0.3">
      <c r="A32" s="252" t="s">
        <v>275</v>
      </c>
      <c r="B32" s="474">
        <v>0.30179839284454979</v>
      </c>
      <c r="C32" s="474">
        <v>0.1433011513307601</v>
      </c>
      <c r="D32" s="474">
        <v>0.22737060498591649</v>
      </c>
      <c r="E32" s="474">
        <v>0.85124967559044762</v>
      </c>
      <c r="F32" s="474">
        <v>0.71159740780906222</v>
      </c>
      <c r="G32" s="475">
        <v>0.16107788626860872</v>
      </c>
      <c r="H32" s="474">
        <v>0.39482730463400878</v>
      </c>
      <c r="I32" s="474">
        <v>0</v>
      </c>
      <c r="J32" s="474">
        <v>1.1047493206883963</v>
      </c>
      <c r="K32" s="476">
        <v>0</v>
      </c>
      <c r="L32" s="477">
        <v>0</v>
      </c>
      <c r="M32" s="474">
        <v>0.10703789060848828</v>
      </c>
      <c r="N32" s="474">
        <v>0</v>
      </c>
      <c r="O32" s="474">
        <v>0.32448437960841453</v>
      </c>
      <c r="P32" s="474">
        <v>0</v>
      </c>
      <c r="Q32" s="478">
        <v>0.27893223116284865</v>
      </c>
      <c r="R32" s="474">
        <v>0.38130203851526029</v>
      </c>
      <c r="S32" s="474">
        <v>0.37888759428283336</v>
      </c>
      <c r="T32" s="474">
        <v>0.49955205758762278</v>
      </c>
      <c r="U32" s="474">
        <v>0.78917075188147978</v>
      </c>
    </row>
    <row r="33" spans="1:21" ht="14.25" customHeight="1" x14ac:dyDescent="0.3">
      <c r="A33" s="252" t="s">
        <v>276</v>
      </c>
      <c r="B33" s="474">
        <v>4.2212380153608207</v>
      </c>
      <c r="C33" s="474">
        <v>2.7727778696710486</v>
      </c>
      <c r="D33" s="474">
        <v>5.2192706570623146</v>
      </c>
      <c r="E33" s="474">
        <v>7.2331643892691364</v>
      </c>
      <c r="F33" s="474">
        <v>5.3534285188724295</v>
      </c>
      <c r="G33" s="475">
        <v>2.9632293883142982</v>
      </c>
      <c r="H33" s="474">
        <v>1.097519425536762</v>
      </c>
      <c r="I33" s="474">
        <v>1.6176393955091604</v>
      </c>
      <c r="J33" s="474">
        <v>3.6891249091051708</v>
      </c>
      <c r="K33" s="476">
        <v>4.0297418062526908</v>
      </c>
      <c r="L33" s="477">
        <v>3.8974939997065881</v>
      </c>
      <c r="M33" s="474">
        <v>2.9190655874947797</v>
      </c>
      <c r="N33" s="474">
        <v>3.9794318072190373</v>
      </c>
      <c r="O33" s="474">
        <v>5.7717326071617077</v>
      </c>
      <c r="P33" s="474">
        <v>4.9401558489251842</v>
      </c>
      <c r="Q33" s="478">
        <v>2.3921140902831888</v>
      </c>
      <c r="R33" s="474">
        <v>2.4086076989248704</v>
      </c>
      <c r="S33" s="474">
        <v>3.4471638481832634</v>
      </c>
      <c r="T33" s="474">
        <v>5.433287383374247</v>
      </c>
      <c r="U33" s="474">
        <v>3.6192889485562798</v>
      </c>
    </row>
    <row r="34" spans="1:21" ht="14.25" customHeight="1" x14ac:dyDescent="0.3">
      <c r="A34" s="252" t="s">
        <v>281</v>
      </c>
      <c r="B34" s="474">
        <v>7.9537753565211853</v>
      </c>
      <c r="C34" s="474">
        <v>15.115401278072591</v>
      </c>
      <c r="D34" s="474">
        <v>16.507703578672928</v>
      </c>
      <c r="E34" s="474">
        <v>13.052322536557121</v>
      </c>
      <c r="F34" s="474">
        <v>11.007921672043793</v>
      </c>
      <c r="G34" s="475">
        <v>21.07999075500366</v>
      </c>
      <c r="H34" s="474">
        <v>27.839991170623257</v>
      </c>
      <c r="I34" s="474">
        <v>23.684833767903648</v>
      </c>
      <c r="J34" s="474">
        <v>11.186934633053676</v>
      </c>
      <c r="K34" s="476">
        <v>22.509223997225082</v>
      </c>
      <c r="L34" s="477">
        <v>15.209996663975353</v>
      </c>
      <c r="M34" s="474">
        <v>18.24866342544879</v>
      </c>
      <c r="N34" s="474">
        <v>18.106639727369554</v>
      </c>
      <c r="O34" s="474">
        <v>12.616412004262401</v>
      </c>
      <c r="P34" s="474">
        <v>12.429663096285438</v>
      </c>
      <c r="Q34" s="478">
        <v>10.649922457449158</v>
      </c>
      <c r="R34" s="474">
        <v>12.375810999967744</v>
      </c>
      <c r="S34" s="474">
        <v>13.665397689488511</v>
      </c>
      <c r="T34" s="474">
        <v>8.9326896185359299</v>
      </c>
      <c r="U34" s="474">
        <v>8.4779810841797243</v>
      </c>
    </row>
    <row r="35" spans="1:21" ht="14.25" customHeight="1" x14ac:dyDescent="0.3">
      <c r="A35" s="252" t="s">
        <v>282</v>
      </c>
      <c r="B35" s="474">
        <v>9.3611761482415261</v>
      </c>
      <c r="C35" s="474">
        <v>9.3084890491066972</v>
      </c>
      <c r="D35" s="474">
        <v>16.603554410212077</v>
      </c>
      <c r="E35" s="474">
        <v>13.867710042861386</v>
      </c>
      <c r="F35" s="474">
        <v>15.684828950457517</v>
      </c>
      <c r="G35" s="475">
        <v>8.3598883379679467</v>
      </c>
      <c r="H35" s="474">
        <v>5.5987030485245457</v>
      </c>
      <c r="I35" s="474">
        <v>6.1885842980363845</v>
      </c>
      <c r="J35" s="474">
        <v>11.103095335576333</v>
      </c>
      <c r="K35" s="476">
        <v>6.5422174166545677</v>
      </c>
      <c r="L35" s="477">
        <v>5.9460136375923707</v>
      </c>
      <c r="M35" s="474">
        <v>7.0981552328990203</v>
      </c>
      <c r="N35" s="474">
        <v>13.154268595844579</v>
      </c>
      <c r="O35" s="474">
        <v>12.996784535091205</v>
      </c>
      <c r="P35" s="474">
        <v>13.613546940794075</v>
      </c>
      <c r="Q35" s="478">
        <v>6.1007573816600411</v>
      </c>
      <c r="R35" s="474">
        <v>9.7903965643245012</v>
      </c>
      <c r="S35" s="474">
        <v>13.138986497810265</v>
      </c>
      <c r="T35" s="474">
        <v>12.69058246237525</v>
      </c>
      <c r="U35" s="474">
        <v>10.380792564401789</v>
      </c>
    </row>
    <row r="36" spans="1:21" ht="14.25" customHeight="1" x14ac:dyDescent="0.3">
      <c r="A36" s="252" t="s">
        <v>283</v>
      </c>
      <c r="B36" s="474">
        <v>15.859440971822803</v>
      </c>
      <c r="C36" s="474">
        <v>8.7672610691288551</v>
      </c>
      <c r="D36" s="474">
        <v>4.2591906487932079</v>
      </c>
      <c r="E36" s="474">
        <v>5.5354333396064295</v>
      </c>
      <c r="F36" s="474">
        <v>1.8123403148182342</v>
      </c>
      <c r="G36" s="475">
        <v>14.344590941508512</v>
      </c>
      <c r="H36" s="474">
        <v>0.29768294504729054</v>
      </c>
      <c r="I36" s="474">
        <v>0.1044600262542118</v>
      </c>
      <c r="J36" s="474">
        <v>6.5843490523975365</v>
      </c>
      <c r="K36" s="476">
        <v>0</v>
      </c>
      <c r="L36" s="477">
        <v>7.4081718497246722</v>
      </c>
      <c r="M36" s="474">
        <v>2.0950752598463596</v>
      </c>
      <c r="N36" s="474">
        <v>2.8190410646587432</v>
      </c>
      <c r="O36" s="474">
        <v>5.8417044126961404</v>
      </c>
      <c r="P36" s="474">
        <v>2.0553402841909785</v>
      </c>
      <c r="Q36" s="478">
        <v>14.508894386337484</v>
      </c>
      <c r="R36" s="474">
        <v>3.8813096601339225</v>
      </c>
      <c r="S36" s="474">
        <v>4.3254004930124763</v>
      </c>
      <c r="T36" s="474">
        <v>6.7074759149536787</v>
      </c>
      <c r="U36" s="474">
        <v>3.6889414451881408</v>
      </c>
    </row>
    <row r="37" spans="1:21" ht="14.25" customHeight="1" x14ac:dyDescent="0.3">
      <c r="A37" s="252" t="s">
        <v>284</v>
      </c>
      <c r="B37" s="474">
        <v>6.1776779021261001</v>
      </c>
      <c r="C37" s="474">
        <v>3.2797389814144875</v>
      </c>
      <c r="D37" s="474">
        <v>5.2738480740104547</v>
      </c>
      <c r="E37" s="474">
        <v>2.2527808535663234</v>
      </c>
      <c r="F37" s="474">
        <v>5.9155381428962972</v>
      </c>
      <c r="G37" s="475">
        <v>3.4260954298769284</v>
      </c>
      <c r="H37" s="474">
        <v>2.3330330676620896</v>
      </c>
      <c r="I37" s="474">
        <v>4.1145770888924318</v>
      </c>
      <c r="J37" s="474">
        <v>2.3319139522242551</v>
      </c>
      <c r="K37" s="476">
        <v>0</v>
      </c>
      <c r="L37" s="477">
        <v>5.6840619133156824</v>
      </c>
      <c r="M37" s="474">
        <v>2.9957598544157462</v>
      </c>
      <c r="N37" s="474">
        <v>1.8724341684000709</v>
      </c>
      <c r="O37" s="474">
        <v>1.4488613550855447</v>
      </c>
      <c r="P37" s="474">
        <v>5.2966429761886511</v>
      </c>
      <c r="Q37" s="478">
        <v>11.161914933080542</v>
      </c>
      <c r="R37" s="474">
        <v>5.7533887191136213</v>
      </c>
      <c r="S37" s="474">
        <v>8.2899266219874601</v>
      </c>
      <c r="T37" s="474">
        <v>5.6058466414943835</v>
      </c>
      <c r="U37" s="474">
        <v>8.5535107714660956</v>
      </c>
    </row>
    <row r="38" spans="1:21" ht="14.25" customHeight="1" x14ac:dyDescent="0.3">
      <c r="A38" s="252" t="s">
        <v>285</v>
      </c>
      <c r="B38" s="474">
        <v>7.9398025456727321</v>
      </c>
      <c r="C38" s="474">
        <v>8.2392570389565218</v>
      </c>
      <c r="D38" s="474">
        <v>2.9000162128069591</v>
      </c>
      <c r="E38" s="474">
        <v>3.4598935710195096</v>
      </c>
      <c r="F38" s="474">
        <v>3.6981876478694895</v>
      </c>
      <c r="G38" s="475">
        <v>9.0339174733575298</v>
      </c>
      <c r="H38" s="474">
        <v>20.036791271175833</v>
      </c>
      <c r="I38" s="474">
        <v>8.3836869723962657</v>
      </c>
      <c r="J38" s="474">
        <v>5.8018233888384492</v>
      </c>
      <c r="K38" s="476">
        <v>5.3097210177332137</v>
      </c>
      <c r="L38" s="477">
        <v>4.4241917272273312</v>
      </c>
      <c r="M38" s="474">
        <v>3.352982922108827</v>
      </c>
      <c r="N38" s="474">
        <v>2.3845503692247161</v>
      </c>
      <c r="O38" s="474">
        <v>3.0559566145481041</v>
      </c>
      <c r="P38" s="474">
        <v>2.1373925218616692</v>
      </c>
      <c r="Q38" s="478">
        <v>6.5606131981847158</v>
      </c>
      <c r="R38" s="474">
        <v>7.601197382226073</v>
      </c>
      <c r="S38" s="474">
        <v>6.3848401666655343</v>
      </c>
      <c r="T38" s="474">
        <v>7.2029476995107293</v>
      </c>
      <c r="U38" s="474">
        <v>5.8084013494027431</v>
      </c>
    </row>
    <row r="39" spans="1:21" ht="14.25" customHeight="1" x14ac:dyDescent="0.3">
      <c r="A39" s="252" t="s">
        <v>286</v>
      </c>
      <c r="B39" s="474">
        <v>5.6614977584119597</v>
      </c>
      <c r="C39" s="474">
        <v>5.6343514111004245</v>
      </c>
      <c r="D39" s="474">
        <v>3.4606132896234323</v>
      </c>
      <c r="E39" s="474">
        <v>3.8857967686725545</v>
      </c>
      <c r="F39" s="474">
        <v>7.870654134268114</v>
      </c>
      <c r="G39" s="475">
        <v>11.408357055152575</v>
      </c>
      <c r="H39" s="474">
        <v>12.795421786125949</v>
      </c>
      <c r="I39" s="474">
        <v>4.0042608019499042</v>
      </c>
      <c r="J39" s="474">
        <v>7.5697135848080546</v>
      </c>
      <c r="K39" s="476">
        <v>7.8196311473883133</v>
      </c>
      <c r="L39" s="477">
        <v>4.5884362093609576</v>
      </c>
      <c r="M39" s="474">
        <v>4.106851559028116</v>
      </c>
      <c r="N39" s="474">
        <v>2.1297856778383344</v>
      </c>
      <c r="O39" s="474">
        <v>2.5920439630155223</v>
      </c>
      <c r="P39" s="474">
        <v>4.9825573118125837</v>
      </c>
      <c r="Q39" s="478">
        <v>7.6561136465927992</v>
      </c>
      <c r="R39" s="474">
        <v>8.2237905834052558</v>
      </c>
      <c r="S39" s="474">
        <v>5.6755005051850418</v>
      </c>
      <c r="T39" s="474">
        <v>4.6718302941747112</v>
      </c>
      <c r="U39" s="474">
        <v>9.0842614267941162</v>
      </c>
    </row>
    <row r="40" spans="1:21" ht="14.25" customHeight="1" x14ac:dyDescent="0.3">
      <c r="A40" s="252" t="s">
        <v>277</v>
      </c>
      <c r="B40" s="474">
        <v>23.327538157952446</v>
      </c>
      <c r="C40" s="474">
        <v>27.062424255929496</v>
      </c>
      <c r="D40" s="474">
        <v>24.09760608777146</v>
      </c>
      <c r="E40" s="474">
        <v>24.26560264886173</v>
      </c>
      <c r="F40" s="474">
        <v>25.429462485120744</v>
      </c>
      <c r="G40" s="475">
        <v>11.090792066823269</v>
      </c>
      <c r="H40" s="474">
        <v>13.179990663390884</v>
      </c>
      <c r="I40" s="474">
        <v>38.810212230661321</v>
      </c>
      <c r="J40" s="474">
        <v>17.786065996257491</v>
      </c>
      <c r="K40" s="476">
        <v>46.46663299217483</v>
      </c>
      <c r="L40" s="477">
        <v>31.231289080697263</v>
      </c>
      <c r="M40" s="474">
        <v>36.018349312012518</v>
      </c>
      <c r="N40" s="474">
        <v>33.075776039449565</v>
      </c>
      <c r="O40" s="474">
        <v>26.388200523516005</v>
      </c>
      <c r="P40" s="474">
        <v>31.486577503223163</v>
      </c>
      <c r="Q40" s="478">
        <v>23.650066543697886</v>
      </c>
      <c r="R40" s="474">
        <v>30.22493069653099</v>
      </c>
      <c r="S40" s="474">
        <v>24.207418325511846</v>
      </c>
      <c r="T40" s="474">
        <v>20.640909642495416</v>
      </c>
      <c r="U40" s="474">
        <v>28.043150964048547</v>
      </c>
    </row>
    <row r="41" spans="1:21" ht="14.25" customHeight="1" thickBot="1" x14ac:dyDescent="0.35">
      <c r="A41" s="253" t="s">
        <v>287</v>
      </c>
      <c r="B41" s="474">
        <v>2.2738251837667036</v>
      </c>
      <c r="C41" s="474">
        <v>3.8396137844664029</v>
      </c>
      <c r="D41" s="474">
        <v>0.46344256835146524</v>
      </c>
      <c r="E41" s="474">
        <v>1.6498393661961326</v>
      </c>
      <c r="F41" s="474">
        <v>1.0852464601216436</v>
      </c>
      <c r="G41" s="475">
        <v>0</v>
      </c>
      <c r="H41" s="474">
        <v>3.9870965542147587</v>
      </c>
      <c r="I41" s="474">
        <v>1.3247240606067943</v>
      </c>
      <c r="J41" s="474">
        <v>0.53372138763742505</v>
      </c>
      <c r="K41" s="476">
        <v>0.84399605043414971</v>
      </c>
      <c r="L41" s="477">
        <v>1.5630986539761988</v>
      </c>
      <c r="M41" s="474">
        <v>3.8363582733682442</v>
      </c>
      <c r="N41" s="474">
        <v>0.34934104870066468</v>
      </c>
      <c r="O41" s="474">
        <v>1.3162080947174388</v>
      </c>
      <c r="P41" s="474">
        <v>0.90052393268249697</v>
      </c>
      <c r="Q41" s="478">
        <v>1.169556971556331</v>
      </c>
      <c r="R41" s="474">
        <v>2.3613550450884389</v>
      </c>
      <c r="S41" s="474">
        <v>0.96305748554501824</v>
      </c>
      <c r="T41" s="474">
        <v>1.3000986510834667</v>
      </c>
      <c r="U41" s="474">
        <v>0.92875526947776377</v>
      </c>
    </row>
    <row r="42" spans="1:21" ht="14.25" customHeight="1" thickBot="1" x14ac:dyDescent="0.35">
      <c r="A42" s="484" t="s">
        <v>120</v>
      </c>
      <c r="B42" s="479">
        <v>100</v>
      </c>
      <c r="C42" s="479">
        <v>100</v>
      </c>
      <c r="D42" s="479">
        <v>100</v>
      </c>
      <c r="E42" s="479">
        <v>100</v>
      </c>
      <c r="F42" s="479">
        <v>100</v>
      </c>
      <c r="G42" s="480">
        <v>100</v>
      </c>
      <c r="H42" s="479">
        <v>100</v>
      </c>
      <c r="I42" s="479">
        <v>100</v>
      </c>
      <c r="J42" s="479">
        <v>100</v>
      </c>
      <c r="K42" s="481">
        <v>100</v>
      </c>
      <c r="L42" s="482">
        <v>100</v>
      </c>
      <c r="M42" s="479">
        <v>100</v>
      </c>
      <c r="N42" s="479">
        <v>100</v>
      </c>
      <c r="O42" s="479">
        <v>100</v>
      </c>
      <c r="P42" s="479">
        <v>100</v>
      </c>
      <c r="Q42" s="483">
        <v>100</v>
      </c>
      <c r="R42" s="479">
        <v>100</v>
      </c>
      <c r="S42" s="479">
        <v>100</v>
      </c>
      <c r="T42" s="479">
        <v>100</v>
      </c>
      <c r="U42" s="479">
        <v>100</v>
      </c>
    </row>
    <row r="43" spans="1:21" ht="11.1" customHeight="1" thickTop="1" x14ac:dyDescent="0.3">
      <c r="A43" s="651" t="s">
        <v>220</v>
      </c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1"/>
      <c r="P43" s="651"/>
      <c r="Q43" s="651"/>
      <c r="R43" s="651"/>
      <c r="S43" s="651"/>
      <c r="T43" s="651"/>
      <c r="U43" s="651"/>
    </row>
    <row r="45" spans="1:21" ht="57" customHeight="1" thickBot="1" x14ac:dyDescent="0.35">
      <c r="A45" s="642" t="s">
        <v>402</v>
      </c>
      <c r="B45" s="643"/>
      <c r="C45" s="643"/>
      <c r="D45" s="643"/>
      <c r="E45" s="643"/>
      <c r="F45" s="643"/>
      <c r="G45" s="643"/>
      <c r="H45" s="643"/>
      <c r="I45" s="643"/>
      <c r="J45" s="643"/>
      <c r="K45" s="643"/>
      <c r="L45" s="643"/>
      <c r="M45" s="643"/>
      <c r="N45" s="643"/>
      <c r="O45" s="643"/>
      <c r="P45" s="643"/>
      <c r="Q45" s="643"/>
      <c r="R45" s="643"/>
      <c r="S45" s="643"/>
      <c r="T45" s="643"/>
      <c r="U45" s="643"/>
    </row>
    <row r="46" spans="1:21" ht="12.9" customHeight="1" thickTop="1" x14ac:dyDescent="0.3">
      <c r="A46" s="649" t="s">
        <v>271</v>
      </c>
      <c r="B46" s="644" t="s">
        <v>217</v>
      </c>
      <c r="C46" s="644"/>
      <c r="D46" s="644"/>
      <c r="E46" s="644"/>
      <c r="F46" s="644"/>
      <c r="G46" s="645" t="s">
        <v>218</v>
      </c>
      <c r="H46" s="644"/>
      <c r="I46" s="644"/>
      <c r="J46" s="644"/>
      <c r="K46" s="646"/>
      <c r="L46" s="647" t="s">
        <v>163</v>
      </c>
      <c r="M46" s="644"/>
      <c r="N46" s="644"/>
      <c r="O46" s="644"/>
      <c r="P46" s="644"/>
      <c r="Q46" s="648" t="s">
        <v>219</v>
      </c>
      <c r="R46" s="644"/>
      <c r="S46" s="644"/>
      <c r="T46" s="644"/>
      <c r="U46" s="644"/>
    </row>
    <row r="47" spans="1:21" ht="12.9" customHeight="1" thickBot="1" x14ac:dyDescent="0.35">
      <c r="A47" s="650"/>
      <c r="B47" s="243" t="s">
        <v>61</v>
      </c>
      <c r="C47" s="243" t="s">
        <v>62</v>
      </c>
      <c r="D47" s="243" t="s">
        <v>63</v>
      </c>
      <c r="E47" s="243" t="s">
        <v>64</v>
      </c>
      <c r="F47" s="243" t="s">
        <v>65</v>
      </c>
      <c r="G47" s="271" t="s">
        <v>61</v>
      </c>
      <c r="H47" s="243" t="s">
        <v>62</v>
      </c>
      <c r="I47" s="243" t="s">
        <v>63</v>
      </c>
      <c r="J47" s="243" t="s">
        <v>64</v>
      </c>
      <c r="K47" s="247" t="s">
        <v>65</v>
      </c>
      <c r="L47" s="246" t="s">
        <v>61</v>
      </c>
      <c r="M47" s="243" t="s">
        <v>62</v>
      </c>
      <c r="N47" s="243" t="s">
        <v>63</v>
      </c>
      <c r="O47" s="243" t="s">
        <v>64</v>
      </c>
      <c r="P47" s="243" t="s">
        <v>65</v>
      </c>
      <c r="Q47" s="267" t="s">
        <v>61</v>
      </c>
      <c r="R47" s="243" t="s">
        <v>62</v>
      </c>
      <c r="S47" s="243" t="s">
        <v>63</v>
      </c>
      <c r="T47" s="243" t="s">
        <v>64</v>
      </c>
      <c r="U47" s="243" t="s">
        <v>65</v>
      </c>
    </row>
    <row r="48" spans="1:21" ht="15.75" customHeight="1" thickTop="1" x14ac:dyDescent="0.3">
      <c r="A48" s="252" t="s">
        <v>278</v>
      </c>
      <c r="B48" s="258">
        <v>6169.842765970262</v>
      </c>
      <c r="C48" s="258">
        <v>11142.568042649309</v>
      </c>
      <c r="D48" s="258">
        <v>9148.6100245890157</v>
      </c>
      <c r="E48" s="258">
        <v>9606.4566540347078</v>
      </c>
      <c r="F48" s="258">
        <v>12478.461266167571</v>
      </c>
      <c r="G48" s="275">
        <v>3193.3480249734675</v>
      </c>
      <c r="H48" s="258">
        <v>2341.4960544999999</v>
      </c>
      <c r="I48" s="258">
        <v>1811.9605446400681</v>
      </c>
      <c r="J48" s="258">
        <v>6888.813532724831</v>
      </c>
      <c r="K48" s="260">
        <v>596.053</v>
      </c>
      <c r="L48" s="259">
        <v>7947.7616589257696</v>
      </c>
      <c r="M48" s="258">
        <v>11705.745860149304</v>
      </c>
      <c r="N48" s="258">
        <v>7886.5470974426617</v>
      </c>
      <c r="O48" s="258">
        <v>13074.841305880296</v>
      </c>
      <c r="P48" s="258">
        <v>11610.993859733124</v>
      </c>
      <c r="Q48" s="276">
        <v>10847.740269670136</v>
      </c>
      <c r="R48" s="258">
        <v>14640.83272817798</v>
      </c>
      <c r="S48" s="258">
        <v>12181.572327078002</v>
      </c>
      <c r="T48" s="258">
        <v>22682.244800376247</v>
      </c>
      <c r="U48" s="258">
        <v>16644.804028330716</v>
      </c>
    </row>
    <row r="49" spans="1:21" x14ac:dyDescent="0.3">
      <c r="A49" s="252" t="s">
        <v>279</v>
      </c>
      <c r="B49" s="261">
        <v>3612.5511316364032</v>
      </c>
      <c r="C49" s="261">
        <v>5837.9093518032505</v>
      </c>
      <c r="D49" s="261">
        <v>8892.9439773022514</v>
      </c>
      <c r="E49" s="261">
        <v>7610.290768627553</v>
      </c>
      <c r="F49" s="261">
        <v>6315.8532442712376</v>
      </c>
      <c r="G49" s="277">
        <v>526.509512011845</v>
      </c>
      <c r="H49" s="261">
        <v>410.73365999999999</v>
      </c>
      <c r="I49" s="261">
        <v>1420.8901357193793</v>
      </c>
      <c r="J49" s="261">
        <v>947.1894743045375</v>
      </c>
      <c r="K49" s="263">
        <v>0</v>
      </c>
      <c r="L49" s="262">
        <v>2272.7100117689147</v>
      </c>
      <c r="M49" s="261">
        <v>5401.6997123186484</v>
      </c>
      <c r="N49" s="261">
        <v>8454.8440243154782</v>
      </c>
      <c r="O49" s="261">
        <v>6408.0702039394891</v>
      </c>
      <c r="P49" s="261">
        <v>5365.572067363476</v>
      </c>
      <c r="Q49" s="278">
        <v>4539.6237231969453</v>
      </c>
      <c r="R49" s="261">
        <v>9179.2035903600099</v>
      </c>
      <c r="S49" s="261">
        <v>15201.82877137472</v>
      </c>
      <c r="T49" s="261">
        <v>11236.786992388075</v>
      </c>
      <c r="U49" s="261">
        <v>13329.118551994847</v>
      </c>
    </row>
    <row r="50" spans="1:21" x14ac:dyDescent="0.3">
      <c r="A50" s="252" t="s">
        <v>280</v>
      </c>
      <c r="B50" s="261">
        <v>2223.7466087745624</v>
      </c>
      <c r="C50" s="261">
        <v>1827.500174007223</v>
      </c>
      <c r="D50" s="261">
        <v>3827.1080371627086</v>
      </c>
      <c r="E50" s="261">
        <v>7606.6786847161438</v>
      </c>
      <c r="F50" s="261">
        <v>5465.6765999540667</v>
      </c>
      <c r="G50" s="277">
        <v>1221.5653215807563</v>
      </c>
      <c r="H50" s="261">
        <v>500.59251</v>
      </c>
      <c r="I50" s="261">
        <v>982.47898013695158</v>
      </c>
      <c r="J50" s="261">
        <v>0</v>
      </c>
      <c r="K50" s="263">
        <v>476.29649999999998</v>
      </c>
      <c r="L50" s="262">
        <v>2282.8509973448299</v>
      </c>
      <c r="M50" s="261">
        <v>1325.1668733709525</v>
      </c>
      <c r="N50" s="261">
        <v>3488.5251622389978</v>
      </c>
      <c r="O50" s="261">
        <v>6100.240179272645</v>
      </c>
      <c r="P50" s="261">
        <v>5059.5296666865415</v>
      </c>
      <c r="Q50" s="278">
        <v>4162.7546159064377</v>
      </c>
      <c r="R50" s="261">
        <v>5431.9467227165451</v>
      </c>
      <c r="S50" s="261">
        <v>6633.7144271965008</v>
      </c>
      <c r="T50" s="261">
        <v>12464.150222332057</v>
      </c>
      <c r="U50" s="261">
        <v>11877.744744328045</v>
      </c>
    </row>
    <row r="51" spans="1:21" x14ac:dyDescent="0.3">
      <c r="A51" s="252" t="s">
        <v>272</v>
      </c>
      <c r="B51" s="261">
        <v>239.8683237119543</v>
      </c>
      <c r="C51" s="261">
        <v>1202.845010514151</v>
      </c>
      <c r="D51" s="261">
        <v>4269.0078484492487</v>
      </c>
      <c r="E51" s="261">
        <v>3020.4934878459785</v>
      </c>
      <c r="F51" s="261">
        <v>3804.876326567236</v>
      </c>
      <c r="G51" s="277">
        <v>374.99365515898421</v>
      </c>
      <c r="H51" s="261">
        <v>204.901455</v>
      </c>
      <c r="I51" s="261">
        <v>51.5341381697</v>
      </c>
      <c r="J51" s="261">
        <v>584.07830814999568</v>
      </c>
      <c r="K51" s="263">
        <v>0</v>
      </c>
      <c r="L51" s="262">
        <v>239.8683237119543</v>
      </c>
      <c r="M51" s="261">
        <v>808.87673680671685</v>
      </c>
      <c r="N51" s="261">
        <v>2293.5879705723819</v>
      </c>
      <c r="O51" s="261">
        <v>2115.3413148957598</v>
      </c>
      <c r="P51" s="261">
        <v>1805.6372478933081</v>
      </c>
      <c r="Q51" s="278">
        <v>1217.617651994148</v>
      </c>
      <c r="R51" s="261">
        <v>2429.0385511989161</v>
      </c>
      <c r="S51" s="261">
        <v>4616.226113345977</v>
      </c>
      <c r="T51" s="261">
        <v>4035.3633091594197</v>
      </c>
      <c r="U51" s="261">
        <v>3857.6592597565623</v>
      </c>
    </row>
    <row r="52" spans="1:21" x14ac:dyDescent="0.3">
      <c r="A52" s="252" t="s">
        <v>273</v>
      </c>
      <c r="B52" s="261">
        <v>6624.1482846948802</v>
      </c>
      <c r="C52" s="261">
        <v>4795.6446842751238</v>
      </c>
      <c r="D52" s="261">
        <v>9976.0664877282215</v>
      </c>
      <c r="E52" s="261">
        <v>7205.1139567386372</v>
      </c>
      <c r="F52" s="261">
        <v>7758.9447604585657</v>
      </c>
      <c r="G52" s="277">
        <v>232.45474010044376</v>
      </c>
      <c r="H52" s="261">
        <v>410.05397094146144</v>
      </c>
      <c r="I52" s="261">
        <v>729.3290179754681</v>
      </c>
      <c r="J52" s="261">
        <v>1914.9489077125243</v>
      </c>
      <c r="K52" s="263">
        <v>189.64760000000001</v>
      </c>
      <c r="L52" s="262">
        <v>4475.5945886331938</v>
      </c>
      <c r="M52" s="261">
        <v>2638.1377523338547</v>
      </c>
      <c r="N52" s="261">
        <v>5450.242246326412</v>
      </c>
      <c r="O52" s="261">
        <v>5429.5000433990972</v>
      </c>
      <c r="P52" s="261">
        <v>4337.1155946279487</v>
      </c>
      <c r="Q52" s="278">
        <v>5857.0883527062033</v>
      </c>
      <c r="R52" s="261">
        <v>4325.7733542048882</v>
      </c>
      <c r="S52" s="261">
        <v>7263.7225235450414</v>
      </c>
      <c r="T52" s="261">
        <v>7683.6918175602432</v>
      </c>
      <c r="U52" s="261">
        <v>7108.0278627342896</v>
      </c>
    </row>
    <row r="53" spans="1:21" x14ac:dyDescent="0.3">
      <c r="A53" s="252" t="s">
        <v>274</v>
      </c>
      <c r="B53" s="261">
        <v>1753.8078130770948</v>
      </c>
      <c r="C53" s="261">
        <v>166.86417</v>
      </c>
      <c r="D53" s="261">
        <v>935.61364946696949</v>
      </c>
      <c r="E53" s="261">
        <v>1136.4968563704219</v>
      </c>
      <c r="F53" s="261">
        <v>1102.9332297585584</v>
      </c>
      <c r="G53" s="277">
        <v>405.40604187860515</v>
      </c>
      <c r="H53" s="261">
        <v>0</v>
      </c>
      <c r="I53" s="261">
        <v>73.347529568470819</v>
      </c>
      <c r="J53" s="261">
        <v>700.76609035637887</v>
      </c>
      <c r="K53" s="263">
        <v>0</v>
      </c>
      <c r="L53" s="262">
        <v>764.87369926502743</v>
      </c>
      <c r="M53" s="261">
        <v>166.86417</v>
      </c>
      <c r="N53" s="261">
        <v>617.94015081913903</v>
      </c>
      <c r="O53" s="261">
        <v>758.52381185009449</v>
      </c>
      <c r="P53" s="261">
        <v>839.9400946104281</v>
      </c>
      <c r="Q53" s="278">
        <v>1255.6333699438965</v>
      </c>
      <c r="R53" s="261">
        <v>1088.0263347157704</v>
      </c>
      <c r="S53" s="261">
        <v>2512.0314502687347</v>
      </c>
      <c r="T53" s="261">
        <v>2557.5266157512542</v>
      </c>
      <c r="U53" s="261">
        <v>2932.7532241118438</v>
      </c>
    </row>
    <row r="54" spans="1:21" x14ac:dyDescent="0.3">
      <c r="A54" s="252" t="s">
        <v>275</v>
      </c>
      <c r="B54" s="261">
        <v>367.81674923896276</v>
      </c>
      <c r="C54" s="261">
        <v>225.96579851238621</v>
      </c>
      <c r="D54" s="261">
        <v>401.38080965924775</v>
      </c>
      <c r="E54" s="261">
        <v>1286.3382191758883</v>
      </c>
      <c r="F54" s="261">
        <v>1226.1317055725681</v>
      </c>
      <c r="G54" s="277">
        <v>52.895388931831988</v>
      </c>
      <c r="H54" s="261">
        <v>122.76800799999999</v>
      </c>
      <c r="I54" s="261">
        <v>0</v>
      </c>
      <c r="J54" s="261">
        <v>377.35534907714191</v>
      </c>
      <c r="K54" s="263">
        <v>0</v>
      </c>
      <c r="L54" s="262">
        <v>0</v>
      </c>
      <c r="M54" s="261">
        <v>122.76800799999999</v>
      </c>
      <c r="N54" s="261">
        <v>0</v>
      </c>
      <c r="O54" s="261">
        <v>397.70688314483431</v>
      </c>
      <c r="P54" s="261">
        <v>0</v>
      </c>
      <c r="Q54" s="278">
        <v>489.99448134265248</v>
      </c>
      <c r="R54" s="261">
        <v>832.12174107766828</v>
      </c>
      <c r="S54" s="261">
        <v>939.46680717664594</v>
      </c>
      <c r="T54" s="261">
        <v>1151.5471616658283</v>
      </c>
      <c r="U54" s="261">
        <v>2133.0794830774357</v>
      </c>
    </row>
    <row r="55" spans="1:21" x14ac:dyDescent="0.3">
      <c r="A55" s="252" t="s">
        <v>276</v>
      </c>
      <c r="B55" s="261">
        <v>5144.6332432051167</v>
      </c>
      <c r="C55" s="261">
        <v>4372.2814478406763</v>
      </c>
      <c r="D55" s="261">
        <v>9213.6583895362655</v>
      </c>
      <c r="E55" s="261">
        <v>10930.160758117441</v>
      </c>
      <c r="F55" s="261">
        <v>9224.3287685881387</v>
      </c>
      <c r="G55" s="277">
        <v>973.07690472013292</v>
      </c>
      <c r="H55" s="261">
        <v>341.2638184670439</v>
      </c>
      <c r="I55" s="261">
        <v>696.92133053907583</v>
      </c>
      <c r="J55" s="261">
        <v>1260.1148439694018</v>
      </c>
      <c r="K55" s="263">
        <v>784.9439018193973</v>
      </c>
      <c r="L55" s="262">
        <v>3496.3008490391835</v>
      </c>
      <c r="M55" s="261">
        <v>3348.046802499905</v>
      </c>
      <c r="N55" s="261">
        <v>5069.7390654508563</v>
      </c>
      <c r="O55" s="261">
        <v>7074.1703755041553</v>
      </c>
      <c r="P55" s="261">
        <v>6469.8947801639642</v>
      </c>
      <c r="Q55" s="278">
        <v>4202.1773464266416</v>
      </c>
      <c r="R55" s="261">
        <v>5256.344392510312</v>
      </c>
      <c r="S55" s="261">
        <v>8547.3793893869406</v>
      </c>
      <c r="T55" s="261">
        <v>12524.593923310844</v>
      </c>
      <c r="U55" s="261">
        <v>9782.7130327477662</v>
      </c>
    </row>
    <row r="56" spans="1:21" x14ac:dyDescent="0.3">
      <c r="A56" s="252" t="s">
        <v>281</v>
      </c>
      <c r="B56" s="261">
        <v>9693.6626078041318</v>
      </c>
      <c r="C56" s="261">
        <v>23834.86586057633</v>
      </c>
      <c r="D56" s="261">
        <v>29141.30183377492</v>
      </c>
      <c r="E56" s="261">
        <v>19723.592042650063</v>
      </c>
      <c r="F56" s="261">
        <v>18967.412790483191</v>
      </c>
      <c r="G56" s="277">
        <v>6922.3301565178408</v>
      </c>
      <c r="H56" s="261">
        <v>8656.5954751362588</v>
      </c>
      <c r="I56" s="261">
        <v>10204.04541886713</v>
      </c>
      <c r="J56" s="261">
        <v>3821.1832716300291</v>
      </c>
      <c r="K56" s="263">
        <v>4384.5186517641469</v>
      </c>
      <c r="L56" s="262">
        <v>13644.33768317375</v>
      </c>
      <c r="M56" s="261">
        <v>20930.457846925663</v>
      </c>
      <c r="N56" s="261">
        <v>23067.599400337505</v>
      </c>
      <c r="O56" s="261">
        <v>15463.406592149417</v>
      </c>
      <c r="P56" s="261">
        <v>16278.55777127968</v>
      </c>
      <c r="Q56" s="278">
        <v>18708.49850919743</v>
      </c>
      <c r="R56" s="261">
        <v>27007.936901258316</v>
      </c>
      <c r="S56" s="261">
        <v>33883.895197052538</v>
      </c>
      <c r="T56" s="261">
        <v>20591.274162578335</v>
      </c>
      <c r="U56" s="261">
        <v>22915.455831919011</v>
      </c>
    </row>
    <row r="57" spans="1:21" x14ac:dyDescent="0.3">
      <c r="A57" s="252" t="s">
        <v>282</v>
      </c>
      <c r="B57" s="261">
        <v>11408.932126663225</v>
      </c>
      <c r="C57" s="261">
        <v>14678.180470931744</v>
      </c>
      <c r="D57" s="261">
        <v>29310.508774012771</v>
      </c>
      <c r="E57" s="261">
        <v>20955.738312861773</v>
      </c>
      <c r="F57" s="261">
        <v>27026.048523491474</v>
      </c>
      <c r="G57" s="277">
        <v>2745.2529661712974</v>
      </c>
      <c r="H57" s="261">
        <v>1740.8664815824418</v>
      </c>
      <c r="I57" s="261">
        <v>2666.2038616976342</v>
      </c>
      <c r="J57" s="261">
        <v>3792.5458180706719</v>
      </c>
      <c r="K57" s="263">
        <v>1274.3431000000003</v>
      </c>
      <c r="L57" s="262">
        <v>5333.9536971905063</v>
      </c>
      <c r="M57" s="261">
        <v>8141.2887853442353</v>
      </c>
      <c r="N57" s="261">
        <v>16758.349585688964</v>
      </c>
      <c r="O57" s="261">
        <v>15929.613236217758</v>
      </c>
      <c r="P57" s="261">
        <v>17829.035962686001</v>
      </c>
      <c r="Q57" s="278">
        <v>10717.074310708142</v>
      </c>
      <c r="R57" s="261">
        <v>21365.744244822541</v>
      </c>
      <c r="S57" s="261">
        <v>32578.637783058548</v>
      </c>
      <c r="T57" s="261">
        <v>29253.816479118508</v>
      </c>
      <c r="U57" s="261">
        <v>28058.636973578279</v>
      </c>
    </row>
    <row r="58" spans="1:21" x14ac:dyDescent="0.3">
      <c r="A58" s="252" t="s">
        <v>283</v>
      </c>
      <c r="B58" s="261">
        <v>19328.691475198575</v>
      </c>
      <c r="C58" s="261">
        <v>13824.739926056744</v>
      </c>
      <c r="D58" s="261">
        <v>7518.8144536608233</v>
      </c>
      <c r="E58" s="261">
        <v>8364.6897832851009</v>
      </c>
      <c r="F58" s="261">
        <v>3122.7881058867833</v>
      </c>
      <c r="G58" s="277">
        <v>4710.5331122475518</v>
      </c>
      <c r="H58" s="261">
        <v>92.561840962104043</v>
      </c>
      <c r="I58" s="261">
        <v>45.004109498902118</v>
      </c>
      <c r="J58" s="261">
        <v>2249.0526027795895</v>
      </c>
      <c r="K58" s="263">
        <v>0</v>
      </c>
      <c r="L58" s="262">
        <v>6645.602925872483</v>
      </c>
      <c r="M58" s="261">
        <v>2402.9641727732528</v>
      </c>
      <c r="N58" s="261">
        <v>3591.417897068628</v>
      </c>
      <c r="O58" s="261">
        <v>7159.9318803282058</v>
      </c>
      <c r="P58" s="261">
        <v>2691.7845879378692</v>
      </c>
      <c r="Q58" s="278">
        <v>25487.474681755786</v>
      </c>
      <c r="R58" s="261">
        <v>8470.2462243011432</v>
      </c>
      <c r="S58" s="261">
        <v>10725.001959017252</v>
      </c>
      <c r="T58" s="261">
        <v>15461.801697117437</v>
      </c>
      <c r="U58" s="261">
        <v>9970.9794011557733</v>
      </c>
    </row>
    <row r="59" spans="1:21" x14ac:dyDescent="0.3">
      <c r="A59" s="252" t="s">
        <v>284</v>
      </c>
      <c r="B59" s="261">
        <v>7529.0440826694157</v>
      </c>
      <c r="C59" s="261">
        <v>5171.6879520174734</v>
      </c>
      <c r="D59" s="261">
        <v>9310.0047391671324</v>
      </c>
      <c r="E59" s="261">
        <v>3404.2164061443318</v>
      </c>
      <c r="F59" s="261">
        <v>10192.88265096551</v>
      </c>
      <c r="G59" s="277">
        <v>1125.0746733707902</v>
      </c>
      <c r="H59" s="261">
        <v>725.43570050330493</v>
      </c>
      <c r="I59" s="261">
        <v>1772.6673493222754</v>
      </c>
      <c r="J59" s="261">
        <v>796.52477442676013</v>
      </c>
      <c r="K59" s="263">
        <v>0</v>
      </c>
      <c r="L59" s="262">
        <v>5098.9662832099302</v>
      </c>
      <c r="M59" s="261">
        <v>3436.0119363546696</v>
      </c>
      <c r="N59" s="261">
        <v>2385.4542836497772</v>
      </c>
      <c r="O59" s="261">
        <v>1775.8085438055718</v>
      </c>
      <c r="P59" s="261">
        <v>6936.7695659825858</v>
      </c>
      <c r="Q59" s="278">
        <v>19607.905101624798</v>
      </c>
      <c r="R59" s="261">
        <v>12555.715297739847</v>
      </c>
      <c r="S59" s="261">
        <v>20555.201629202831</v>
      </c>
      <c r="T59" s="261">
        <v>12922.370533154055</v>
      </c>
      <c r="U59" s="261">
        <v>23119.607881307187</v>
      </c>
    </row>
    <row r="60" spans="1:21" x14ac:dyDescent="0.3">
      <c r="A60" s="252" t="s">
        <v>285</v>
      </c>
      <c r="B60" s="261">
        <v>9676.6332465289834</v>
      </c>
      <c r="C60" s="261">
        <v>12992.151693598917</v>
      </c>
      <c r="D60" s="261">
        <v>5119.4430150436656</v>
      </c>
      <c r="E60" s="261">
        <v>5228.3054693633803</v>
      </c>
      <c r="F60" s="261">
        <v>6372.2339042391804</v>
      </c>
      <c r="G60" s="277">
        <v>2966.593300923173</v>
      </c>
      <c r="H60" s="261">
        <v>6230.2604764233965</v>
      </c>
      <c r="I60" s="261">
        <v>3611.9114654638342</v>
      </c>
      <c r="J60" s="261">
        <v>1981.7609743492058</v>
      </c>
      <c r="K60" s="263">
        <v>1034.2680334419967</v>
      </c>
      <c r="L60" s="262">
        <v>3968.7823235600977</v>
      </c>
      <c r="M60" s="261">
        <v>3845.731935347726</v>
      </c>
      <c r="N60" s="261">
        <v>3037.8829807972124</v>
      </c>
      <c r="O60" s="261">
        <v>3745.5577419919941</v>
      </c>
      <c r="P60" s="261">
        <v>2799.2446277505555</v>
      </c>
      <c r="Q60" s="278">
        <v>11524.893512422615</v>
      </c>
      <c r="R60" s="261">
        <v>16588.218685119442</v>
      </c>
      <c r="S60" s="261">
        <v>15831.464255419269</v>
      </c>
      <c r="T60" s="261">
        <v>16603.943178722879</v>
      </c>
      <c r="U60" s="261">
        <v>15699.747764791746</v>
      </c>
    </row>
    <row r="61" spans="1:21" x14ac:dyDescent="0.3">
      <c r="A61" s="252" t="s">
        <v>286</v>
      </c>
      <c r="B61" s="261">
        <v>6899.9496044213865</v>
      </c>
      <c r="C61" s="261">
        <v>8884.5812045852472</v>
      </c>
      <c r="D61" s="261">
        <v>6109.0736165857643</v>
      </c>
      <c r="E61" s="261">
        <v>5871.8952133833454</v>
      </c>
      <c r="F61" s="261">
        <v>13561.683153589262</v>
      </c>
      <c r="G61" s="277">
        <v>3746.3210964862697</v>
      </c>
      <c r="H61" s="261">
        <v>3978.6216043457925</v>
      </c>
      <c r="I61" s="261">
        <v>1725.1402096584209</v>
      </c>
      <c r="J61" s="261">
        <v>2585.6290279764908</v>
      </c>
      <c r="K61" s="263">
        <v>1523.1675076789231</v>
      </c>
      <c r="L61" s="262">
        <v>4116.1201058317392</v>
      </c>
      <c r="M61" s="261">
        <v>4710.3879027077273</v>
      </c>
      <c r="N61" s="261">
        <v>2713.3164167776927</v>
      </c>
      <c r="O61" s="261">
        <v>3176.9594787562305</v>
      </c>
      <c r="P61" s="261">
        <v>6525.426024884956</v>
      </c>
      <c r="Q61" s="278">
        <v>13449.336491961145</v>
      </c>
      <c r="R61" s="261">
        <v>17946.914118707078</v>
      </c>
      <c r="S61" s="261">
        <v>14072.628450208438</v>
      </c>
      <c r="T61" s="261">
        <v>10769.313894974166</v>
      </c>
      <c r="U61" s="261">
        <v>24554.193908236037</v>
      </c>
    </row>
    <row r="62" spans="1:21" x14ac:dyDescent="0.3">
      <c r="A62" s="252" t="s">
        <v>277</v>
      </c>
      <c r="B62" s="261">
        <v>28430.433880492688</v>
      </c>
      <c r="C62" s="261">
        <v>42673.643930168706</v>
      </c>
      <c r="D62" s="261">
        <v>42539.872922264673</v>
      </c>
      <c r="E62" s="261">
        <v>36668.175029747741</v>
      </c>
      <c r="F62" s="261">
        <v>43816.728204047933</v>
      </c>
      <c r="G62" s="277">
        <v>3642.0378583712627</v>
      </c>
      <c r="H62" s="261">
        <v>4098.1998463936088</v>
      </c>
      <c r="I62" s="261">
        <v>16720.453780604799</v>
      </c>
      <c r="J62" s="261">
        <v>6075.2851502498552</v>
      </c>
      <c r="K62" s="263">
        <v>9051.125843520238</v>
      </c>
      <c r="L62" s="262">
        <v>28016.45943204797</v>
      </c>
      <c r="M62" s="261">
        <v>41311.548381104622</v>
      </c>
      <c r="N62" s="261">
        <v>42138.064435004169</v>
      </c>
      <c r="O62" s="261">
        <v>32342.909679268527</v>
      </c>
      <c r="P62" s="261">
        <v>41236.521612502031</v>
      </c>
      <c r="Q62" s="278">
        <v>41545.58274419287</v>
      </c>
      <c r="R62" s="261">
        <v>65960.365837757388</v>
      </c>
      <c r="S62" s="261">
        <v>60023.253195462152</v>
      </c>
      <c r="T62" s="261">
        <v>47580.588553270609</v>
      </c>
      <c r="U62" s="261">
        <v>75798.893737053848</v>
      </c>
    </row>
    <row r="63" spans="1:21" ht="15" thickBot="1" x14ac:dyDescent="0.35">
      <c r="A63" s="253" t="s">
        <v>287</v>
      </c>
      <c r="B63" s="261">
        <v>2771.2241259732073</v>
      </c>
      <c r="C63" s="261">
        <v>6054.5319191715244</v>
      </c>
      <c r="D63" s="261">
        <v>818.12226046983687</v>
      </c>
      <c r="E63" s="261">
        <v>2493.1010173565869</v>
      </c>
      <c r="F63" s="261">
        <v>1869.9549471554396</v>
      </c>
      <c r="G63" s="277">
        <v>0</v>
      </c>
      <c r="H63" s="261">
        <v>1239.7519014505551</v>
      </c>
      <c r="I63" s="261">
        <v>570.72574856810002</v>
      </c>
      <c r="J63" s="261">
        <v>182.30617278529596</v>
      </c>
      <c r="K63" s="263">
        <v>164.4</v>
      </c>
      <c r="L63" s="262">
        <v>1402.1992468597541</v>
      </c>
      <c r="M63" s="261">
        <v>4400.1433559490297</v>
      </c>
      <c r="N63" s="261">
        <v>445.0554872056</v>
      </c>
      <c r="O63" s="261">
        <v>1613.2210109829857</v>
      </c>
      <c r="P63" s="261">
        <v>1179.3747544913635</v>
      </c>
      <c r="Q63" s="278">
        <v>2054.5365420457601</v>
      </c>
      <c r="R63" s="261">
        <v>5153.2241450182755</v>
      </c>
      <c r="S63" s="261">
        <v>2387.9392060463147</v>
      </c>
      <c r="T63" s="261">
        <v>2996.9347314281422</v>
      </c>
      <c r="U63" s="261">
        <v>2510.3677567875734</v>
      </c>
    </row>
    <row r="64" spans="1:21" ht="15" thickBot="1" x14ac:dyDescent="0.35">
      <c r="A64" s="254" t="s">
        <v>120</v>
      </c>
      <c r="B64" s="264">
        <v>121874.98607006091</v>
      </c>
      <c r="C64" s="264">
        <v>157685.96163671007</v>
      </c>
      <c r="D64" s="264">
        <v>176531.53083887408</v>
      </c>
      <c r="E64" s="264">
        <v>151111.74266041894</v>
      </c>
      <c r="F64" s="264">
        <v>172306.93818119797</v>
      </c>
      <c r="G64" s="279">
        <v>32838.392753444256</v>
      </c>
      <c r="H64" s="264">
        <v>31094.102803705962</v>
      </c>
      <c r="I64" s="264">
        <v>43082.613620430297</v>
      </c>
      <c r="J64" s="264">
        <v>34157.554298562733</v>
      </c>
      <c r="K64" s="266">
        <v>19478.764138224698</v>
      </c>
      <c r="L64" s="265">
        <v>89706.381826434954</v>
      </c>
      <c r="M64" s="264">
        <v>114695.84023198631</v>
      </c>
      <c r="N64" s="264">
        <v>127398.56620369537</v>
      </c>
      <c r="O64" s="264">
        <v>122565.8022813869</v>
      </c>
      <c r="P64" s="264">
        <v>130965.39821859267</v>
      </c>
      <c r="Q64" s="280">
        <v>175667.93170509563</v>
      </c>
      <c r="R64" s="264">
        <v>218231.65286968838</v>
      </c>
      <c r="S64" s="264">
        <v>247953.96348484018</v>
      </c>
      <c r="T64" s="264">
        <v>230515.94807290807</v>
      </c>
      <c r="U64" s="264">
        <v>270293.78344191203</v>
      </c>
    </row>
    <row r="65" spans="1:21" ht="11.1" customHeight="1" thickTop="1" x14ac:dyDescent="0.3">
      <c r="A65" s="651" t="s">
        <v>220</v>
      </c>
      <c r="B65" s="651"/>
      <c r="C65" s="651"/>
      <c r="D65" s="651"/>
      <c r="E65" s="651"/>
      <c r="F65" s="651"/>
      <c r="G65" s="651"/>
      <c r="H65" s="651"/>
      <c r="I65" s="651"/>
      <c r="J65" s="651"/>
      <c r="K65" s="651"/>
      <c r="L65" s="651"/>
      <c r="M65" s="651"/>
      <c r="N65" s="651"/>
      <c r="O65" s="651"/>
      <c r="P65" s="651"/>
      <c r="Q65" s="651"/>
      <c r="R65" s="651"/>
      <c r="S65" s="651"/>
      <c r="T65" s="651"/>
      <c r="U65" s="651"/>
    </row>
  </sheetData>
  <mergeCells count="21">
    <mergeCell ref="A65:U65"/>
    <mergeCell ref="A46:A47"/>
    <mergeCell ref="A43:U43"/>
    <mergeCell ref="A45:U45"/>
    <mergeCell ref="B46:F46"/>
    <mergeCell ref="G46:K46"/>
    <mergeCell ref="L46:P46"/>
    <mergeCell ref="Q46:U46"/>
    <mergeCell ref="A21:U21"/>
    <mergeCell ref="A23:U23"/>
    <mergeCell ref="B24:F24"/>
    <mergeCell ref="G24:K24"/>
    <mergeCell ref="L24:P24"/>
    <mergeCell ref="Q24:U24"/>
    <mergeCell ref="A24:A25"/>
    <mergeCell ref="A1:U1"/>
    <mergeCell ref="B2:F2"/>
    <mergeCell ref="G2:K2"/>
    <mergeCell ref="L2:P2"/>
    <mergeCell ref="Q2:U2"/>
    <mergeCell ref="A2:A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opLeftCell="A4" zoomScale="110" zoomScaleNormal="110" workbookViewId="0">
      <selection activeCell="D7" sqref="D7"/>
    </sheetView>
  </sheetViews>
  <sheetFormatPr baseColWidth="10" defaultColWidth="9.109375" defaultRowHeight="14.4" x14ac:dyDescent="0.3"/>
  <cols>
    <col min="1" max="1" width="21.109375" customWidth="1"/>
    <col min="2" max="2" width="11.88671875" customWidth="1"/>
    <col min="3" max="6" width="9.5546875" customWidth="1"/>
  </cols>
  <sheetData>
    <row r="1" spans="1:6" ht="68.099999999999994" customHeight="1" thickBot="1" x14ac:dyDescent="0.35">
      <c r="A1" s="652" t="s">
        <v>288</v>
      </c>
      <c r="B1" s="652"/>
      <c r="C1" s="652"/>
      <c r="D1" s="652"/>
      <c r="E1" s="652"/>
      <c r="F1" s="652"/>
    </row>
    <row r="2" spans="1:6" ht="18" customHeight="1" thickTop="1" thickBot="1" x14ac:dyDescent="0.35">
      <c r="A2" s="654" t="s">
        <v>212</v>
      </c>
      <c r="B2" s="654"/>
      <c r="C2" s="281" t="s">
        <v>289</v>
      </c>
      <c r="D2" s="281" t="s">
        <v>290</v>
      </c>
      <c r="E2" s="281" t="s">
        <v>291</v>
      </c>
      <c r="F2" s="281" t="s">
        <v>120</v>
      </c>
    </row>
    <row r="3" spans="1:6" ht="14.1" customHeight="1" thickTop="1" x14ac:dyDescent="0.3">
      <c r="A3" s="633" t="s">
        <v>217</v>
      </c>
      <c r="B3" s="214" t="s">
        <v>61</v>
      </c>
      <c r="C3" s="217">
        <v>5.8350245041090814</v>
      </c>
      <c r="D3" s="217">
        <v>3.8761440636171423</v>
      </c>
      <c r="E3" s="217">
        <v>6.7142873300416728</v>
      </c>
      <c r="F3" s="217">
        <v>5.6639020932687929</v>
      </c>
    </row>
    <row r="4" spans="1:6" ht="14.1" customHeight="1" x14ac:dyDescent="0.3">
      <c r="A4" s="590"/>
      <c r="B4" s="215" t="s">
        <v>62</v>
      </c>
      <c r="C4" s="218">
        <v>7.2696790454973765</v>
      </c>
      <c r="D4" s="218">
        <v>6.3174673260577379</v>
      </c>
      <c r="E4" s="218">
        <v>7.8581598542411033</v>
      </c>
      <c r="F4" s="218">
        <v>7.2624365667372803</v>
      </c>
    </row>
    <row r="5" spans="1:6" ht="14.1" customHeight="1" x14ac:dyDescent="0.3">
      <c r="A5" s="590"/>
      <c r="B5" s="215" t="s">
        <v>63</v>
      </c>
      <c r="C5" s="218">
        <v>10.464885054711464</v>
      </c>
      <c r="D5" s="218">
        <v>6.5933186232292691</v>
      </c>
      <c r="E5" s="218">
        <v>8.5392987105184446</v>
      </c>
      <c r="F5" s="218">
        <v>8.1798432395376111</v>
      </c>
    </row>
    <row r="6" spans="1:6" ht="14.1" customHeight="1" x14ac:dyDescent="0.3">
      <c r="A6" s="590"/>
      <c r="B6" s="215" t="s">
        <v>64</v>
      </c>
      <c r="C6" s="218">
        <v>9.6865355966093976</v>
      </c>
      <c r="D6" s="218">
        <v>5.1130729085470925</v>
      </c>
      <c r="E6" s="218">
        <v>7.5466964935391925</v>
      </c>
      <c r="F6" s="218">
        <v>7.0529277112487119</v>
      </c>
    </row>
    <row r="7" spans="1:6" ht="14.1" customHeight="1" x14ac:dyDescent="0.3">
      <c r="A7" s="590"/>
      <c r="B7" s="215" t="s">
        <v>65</v>
      </c>
      <c r="C7" s="218">
        <v>7.6800235773184848</v>
      </c>
      <c r="D7" s="218">
        <v>5.6357461456818383</v>
      </c>
      <c r="E7" s="218">
        <v>9.552632342373041</v>
      </c>
      <c r="F7" s="218">
        <v>7.9809125852288147</v>
      </c>
    </row>
    <row r="8" spans="1:6" ht="14.1" customHeight="1" x14ac:dyDescent="0.3">
      <c r="A8" s="591" t="s">
        <v>218</v>
      </c>
      <c r="B8" s="226" t="s">
        <v>61</v>
      </c>
      <c r="C8" s="227">
        <v>1.7800717693936727</v>
      </c>
      <c r="D8" s="227">
        <v>0.41082716938983949</v>
      </c>
      <c r="E8" s="227">
        <v>2.141861522107273</v>
      </c>
      <c r="F8" s="227">
        <v>1.5261002068865537</v>
      </c>
    </row>
    <row r="9" spans="1:6" ht="14.1" customHeight="1" x14ac:dyDescent="0.3">
      <c r="A9" s="590"/>
      <c r="B9" s="215" t="s">
        <v>62</v>
      </c>
      <c r="C9" s="218">
        <v>1.1361484958011581</v>
      </c>
      <c r="D9" s="218">
        <v>0.92294589984807296</v>
      </c>
      <c r="E9" s="218">
        <v>1.8396998025725939</v>
      </c>
      <c r="F9" s="218">
        <v>1.4320802363610572</v>
      </c>
    </row>
    <row r="10" spans="1:6" ht="14.1" customHeight="1" x14ac:dyDescent="0.3">
      <c r="A10" s="590"/>
      <c r="B10" s="215" t="s">
        <v>63</v>
      </c>
      <c r="C10" s="218">
        <v>1.4946062225204539</v>
      </c>
      <c r="D10" s="218">
        <v>1.4643990536509282</v>
      </c>
      <c r="E10" s="218">
        <v>2.4760832690045995</v>
      </c>
      <c r="F10" s="218">
        <v>1.9962950759564029</v>
      </c>
    </row>
    <row r="11" spans="1:6" ht="14.1" customHeight="1" x14ac:dyDescent="0.3">
      <c r="A11" s="590"/>
      <c r="B11" s="215" t="s">
        <v>64</v>
      </c>
      <c r="C11" s="218">
        <v>2.3161760011016188</v>
      </c>
      <c r="D11" s="218">
        <v>0.36690733275919984</v>
      </c>
      <c r="E11" s="218">
        <v>2.1664859577676863</v>
      </c>
      <c r="F11" s="218">
        <v>1.5942557277113416</v>
      </c>
    </row>
    <row r="12" spans="1:6" ht="14.1" customHeight="1" x14ac:dyDescent="0.3">
      <c r="A12" s="592"/>
      <c r="B12" s="222" t="s">
        <v>65</v>
      </c>
      <c r="C12" s="223">
        <v>1.1358410840544653</v>
      </c>
      <c r="D12" s="223">
        <v>0.14803333606990515</v>
      </c>
      <c r="E12" s="223">
        <v>1.3145116738576026</v>
      </c>
      <c r="F12" s="223">
        <v>0.90221737729435869</v>
      </c>
    </row>
    <row r="13" spans="1:6" ht="14.1" customHeight="1" x14ac:dyDescent="0.3">
      <c r="A13" s="593" t="s">
        <v>163</v>
      </c>
      <c r="B13" s="220" t="s">
        <v>61</v>
      </c>
      <c r="C13" s="221">
        <v>4.1084596330645473</v>
      </c>
      <c r="D13" s="221">
        <v>2.4928932487747906</v>
      </c>
      <c r="E13" s="221">
        <v>5.2129560864126425</v>
      </c>
      <c r="F13" s="221">
        <v>4.1689290000348063</v>
      </c>
    </row>
    <row r="14" spans="1:6" ht="14.1" customHeight="1" x14ac:dyDescent="0.3">
      <c r="A14" s="594"/>
      <c r="B14" s="215" t="s">
        <v>62</v>
      </c>
      <c r="C14" s="218">
        <v>5.639136148898042</v>
      </c>
      <c r="D14" s="218">
        <v>3.797144087379579</v>
      </c>
      <c r="E14" s="218">
        <v>6.1190531765966734</v>
      </c>
      <c r="F14" s="218">
        <v>5.2824693809617385</v>
      </c>
    </row>
    <row r="15" spans="1:6" ht="14.1" customHeight="1" x14ac:dyDescent="0.3">
      <c r="A15" s="594"/>
      <c r="B15" s="215" t="s">
        <v>63</v>
      </c>
      <c r="C15" s="218">
        <v>8.2282657555780627</v>
      </c>
      <c r="D15" s="218">
        <v>4.1505300491432839</v>
      </c>
      <c r="E15" s="218">
        <v>6.3567642405008273</v>
      </c>
      <c r="F15" s="218">
        <v>5.9031964178640015</v>
      </c>
    </row>
    <row r="16" spans="1:6" ht="14.1" customHeight="1" x14ac:dyDescent="0.3">
      <c r="A16" s="594"/>
      <c r="B16" s="215" t="s">
        <v>64</v>
      </c>
      <c r="C16" s="218">
        <v>10.431395696094317</v>
      </c>
      <c r="D16" s="218">
        <v>4.0003726177108057</v>
      </c>
      <c r="E16" s="218">
        <v>5.5049091882085346</v>
      </c>
      <c r="F16" s="218">
        <v>5.7205861579164168</v>
      </c>
    </row>
    <row r="17" spans="1:6" ht="14.1" customHeight="1" thickBot="1" x14ac:dyDescent="0.35">
      <c r="A17" s="594"/>
      <c r="B17" s="224" t="s">
        <v>65</v>
      </c>
      <c r="C17" s="225">
        <v>6.2724970146938661</v>
      </c>
      <c r="D17" s="225">
        <v>4.4857563340049627</v>
      </c>
      <c r="E17" s="225">
        <v>7.0097863963466001</v>
      </c>
      <c r="F17" s="225">
        <v>6.0660551798158995</v>
      </c>
    </row>
    <row r="18" spans="1:6" ht="14.1" customHeight="1" x14ac:dyDescent="0.3">
      <c r="A18" s="595" t="s">
        <v>219</v>
      </c>
      <c r="B18" s="215" t="s">
        <v>61</v>
      </c>
      <c r="C18" s="218">
        <v>6.5395080095053544</v>
      </c>
      <c r="D18" s="218">
        <v>5.7242930334410413</v>
      </c>
      <c r="E18" s="218">
        <v>10.095748999071956</v>
      </c>
      <c r="F18" s="218">
        <v>8.1638242447283194</v>
      </c>
    </row>
    <row r="19" spans="1:6" ht="14.1" customHeight="1" x14ac:dyDescent="0.3">
      <c r="A19" s="594"/>
      <c r="B19" s="215" t="s">
        <v>62</v>
      </c>
      <c r="C19" s="218">
        <v>9.72156304353115</v>
      </c>
      <c r="D19" s="218">
        <v>8.1862951676176792</v>
      </c>
      <c r="E19" s="218">
        <v>11.325779738707322</v>
      </c>
      <c r="F19" s="218">
        <v>10.050948856637735</v>
      </c>
    </row>
    <row r="20" spans="1:6" ht="14.1" customHeight="1" x14ac:dyDescent="0.3">
      <c r="A20" s="594"/>
      <c r="B20" s="215" t="s">
        <v>63</v>
      </c>
      <c r="C20" s="218">
        <v>15.282029757227392</v>
      </c>
      <c r="D20" s="218">
        <v>7.6948621695184407</v>
      </c>
      <c r="E20" s="218">
        <v>12.822933951002019</v>
      </c>
      <c r="F20" s="218">
        <v>11.489304728112625</v>
      </c>
    </row>
    <row r="21" spans="1:6" ht="14.1" customHeight="1" x14ac:dyDescent="0.3">
      <c r="A21" s="594"/>
      <c r="B21" s="215" t="s">
        <v>64</v>
      </c>
      <c r="C21" s="218">
        <v>14.21983182256926</v>
      </c>
      <c r="D21" s="218">
        <v>8.3129909944397955</v>
      </c>
      <c r="E21" s="218">
        <v>11.343085781638971</v>
      </c>
      <c r="F21" s="218">
        <v>10.759007138854402</v>
      </c>
    </row>
    <row r="22" spans="1:6" ht="14.1" customHeight="1" thickBot="1" x14ac:dyDescent="0.35">
      <c r="A22" s="596"/>
      <c r="B22" s="216" t="s">
        <v>65</v>
      </c>
      <c r="C22" s="219">
        <v>12.435996142681329</v>
      </c>
      <c r="D22" s="219">
        <v>10.958615227230219</v>
      </c>
      <c r="E22" s="219">
        <v>13.532612970418628</v>
      </c>
      <c r="F22" s="219">
        <v>12.519467183104089</v>
      </c>
    </row>
    <row r="23" spans="1:6" ht="11.1" customHeight="1" thickTop="1" x14ac:dyDescent="0.3">
      <c r="A23" s="653" t="s">
        <v>220</v>
      </c>
      <c r="B23" s="653"/>
      <c r="C23" s="653"/>
      <c r="D23" s="653"/>
      <c r="E23" s="653"/>
      <c r="F23" s="653"/>
    </row>
    <row r="25" spans="1:6" ht="68.099999999999994" customHeight="1" thickBot="1" x14ac:dyDescent="0.35">
      <c r="A25" s="652" t="s">
        <v>292</v>
      </c>
      <c r="B25" s="652"/>
      <c r="C25" s="652"/>
      <c r="D25" s="652"/>
      <c r="E25" s="652"/>
      <c r="F25" s="652"/>
    </row>
    <row r="26" spans="1:6" ht="15.6" thickTop="1" thickBot="1" x14ac:dyDescent="0.35">
      <c r="A26" s="655" t="s">
        <v>212</v>
      </c>
      <c r="B26" s="655"/>
      <c r="C26" s="281" t="s">
        <v>289</v>
      </c>
      <c r="D26" s="281" t="s">
        <v>290</v>
      </c>
      <c r="E26" s="281" t="s">
        <v>291</v>
      </c>
      <c r="F26" s="281" t="s">
        <v>120</v>
      </c>
    </row>
    <row r="27" spans="1:6" ht="14.1" customHeight="1" thickTop="1" x14ac:dyDescent="0.3">
      <c r="A27" s="633" t="s">
        <v>217</v>
      </c>
      <c r="B27" s="214" t="s">
        <v>61</v>
      </c>
      <c r="C27" s="217">
        <v>14.694016988252558</v>
      </c>
      <c r="D27" s="217">
        <v>22.303855657491383</v>
      </c>
      <c r="E27" s="217">
        <v>63.002127354255869</v>
      </c>
      <c r="F27" s="217">
        <v>100</v>
      </c>
    </row>
    <row r="28" spans="1:6" ht="14.1" customHeight="1" x14ac:dyDescent="0.3">
      <c r="A28" s="590"/>
      <c r="B28" s="215" t="s">
        <v>62</v>
      </c>
      <c r="C28" s="218">
        <v>15.054513499460565</v>
      </c>
      <c r="D28" s="218">
        <v>28.637814347055095</v>
      </c>
      <c r="E28" s="218">
        <v>56.307672153483487</v>
      </c>
      <c r="F28" s="218">
        <v>100</v>
      </c>
    </row>
    <row r="29" spans="1:6" ht="14.1" customHeight="1" x14ac:dyDescent="0.3">
      <c r="A29" s="590"/>
      <c r="B29" s="215" t="s">
        <v>63</v>
      </c>
      <c r="C29" s="218">
        <v>18.901750148605345</v>
      </c>
      <c r="D29" s="218">
        <v>26.67310360034103</v>
      </c>
      <c r="E29" s="218">
        <v>54.42514625105337</v>
      </c>
      <c r="F29" s="218">
        <v>100</v>
      </c>
    </row>
    <row r="30" spans="1:6" ht="14.1" customHeight="1" x14ac:dyDescent="0.3">
      <c r="A30" s="590"/>
      <c r="B30" s="215" t="s">
        <v>64</v>
      </c>
      <c r="C30" s="218">
        <v>19.854197537303506</v>
      </c>
      <c r="D30" s="218">
        <v>23.923949631121936</v>
      </c>
      <c r="E30" s="218">
        <v>56.221852831574594</v>
      </c>
      <c r="F30" s="218">
        <v>100</v>
      </c>
    </row>
    <row r="31" spans="1:6" ht="14.1" customHeight="1" x14ac:dyDescent="0.3">
      <c r="A31" s="590"/>
      <c r="B31" s="215" t="s">
        <v>65</v>
      </c>
      <c r="C31" s="218">
        <v>14.16148154939302</v>
      </c>
      <c r="D31" s="218">
        <v>23.367387603834857</v>
      </c>
      <c r="E31" s="218">
        <v>62.47113084677077</v>
      </c>
      <c r="F31" s="218">
        <v>100</v>
      </c>
    </row>
    <row r="32" spans="1:6" ht="14.1" customHeight="1" x14ac:dyDescent="0.3">
      <c r="A32" s="591" t="s">
        <v>218</v>
      </c>
      <c r="B32" s="226" t="s">
        <v>61</v>
      </c>
      <c r="C32" s="227">
        <v>16.636733213952319</v>
      </c>
      <c r="D32" s="227">
        <v>8.7734797766352894</v>
      </c>
      <c r="E32" s="227">
        <v>74.589787009412404</v>
      </c>
      <c r="F32" s="227">
        <v>100</v>
      </c>
    </row>
    <row r="33" spans="1:6" ht="14.1" customHeight="1" x14ac:dyDescent="0.3">
      <c r="A33" s="590"/>
      <c r="B33" s="215" t="s">
        <v>62</v>
      </c>
      <c r="C33" s="218">
        <v>11.931679711637488</v>
      </c>
      <c r="D33" s="218">
        <v>21.217201972269045</v>
      </c>
      <c r="E33" s="218">
        <v>66.851118316093434</v>
      </c>
      <c r="F33" s="218">
        <v>100</v>
      </c>
    </row>
    <row r="34" spans="1:6" ht="14.1" customHeight="1" x14ac:dyDescent="0.3">
      <c r="A34" s="590"/>
      <c r="B34" s="215" t="s">
        <v>63</v>
      </c>
      <c r="C34" s="218">
        <v>11.0615143490246</v>
      </c>
      <c r="D34" s="218">
        <v>24.274437390298186</v>
      </c>
      <c r="E34" s="218">
        <v>64.664048260676921</v>
      </c>
      <c r="F34" s="218">
        <v>100</v>
      </c>
    </row>
    <row r="35" spans="1:6" ht="14.1" customHeight="1" x14ac:dyDescent="0.3">
      <c r="A35" s="590"/>
      <c r="B35" s="215" t="s">
        <v>64</v>
      </c>
      <c r="C35" s="218">
        <v>21.00230029270686</v>
      </c>
      <c r="D35" s="218">
        <v>7.5948417984732748</v>
      </c>
      <c r="E35" s="218">
        <v>71.402857908819826</v>
      </c>
      <c r="F35" s="218">
        <v>100</v>
      </c>
    </row>
    <row r="36" spans="1:6" ht="14.1" customHeight="1" x14ac:dyDescent="0.3">
      <c r="A36" s="592"/>
      <c r="B36" s="222" t="s">
        <v>65</v>
      </c>
      <c r="C36" s="223">
        <v>18.526998965494986</v>
      </c>
      <c r="D36" s="223">
        <v>5.4294974388266821</v>
      </c>
      <c r="E36" s="223">
        <v>76.043503595678303</v>
      </c>
      <c r="F36" s="223">
        <v>100</v>
      </c>
    </row>
    <row r="37" spans="1:6" ht="14.1" customHeight="1" x14ac:dyDescent="0.3">
      <c r="A37" s="593" t="s">
        <v>163</v>
      </c>
      <c r="B37" s="220" t="s">
        <v>61</v>
      </c>
      <c r="C37" s="221">
        <v>14.056206097328703</v>
      </c>
      <c r="D37" s="221">
        <v>19.488344850344998</v>
      </c>
      <c r="E37" s="221">
        <v>66.455449052326529</v>
      </c>
      <c r="F37" s="221">
        <v>100</v>
      </c>
    </row>
    <row r="38" spans="1:6" ht="14.1" customHeight="1" x14ac:dyDescent="0.3">
      <c r="A38" s="594"/>
      <c r="B38" s="215" t="s">
        <v>62</v>
      </c>
      <c r="C38" s="218">
        <v>16.054967545098034</v>
      </c>
      <c r="D38" s="218">
        <v>23.66460751115687</v>
      </c>
      <c r="E38" s="218">
        <v>60.280424943745025</v>
      </c>
      <c r="F38" s="218">
        <v>100</v>
      </c>
    </row>
    <row r="39" spans="1:6" ht="14.1" customHeight="1" x14ac:dyDescent="0.3">
      <c r="A39" s="594"/>
      <c r="B39" s="215" t="s">
        <v>63</v>
      </c>
      <c r="C39" s="218">
        <v>20.593663532879365</v>
      </c>
      <c r="D39" s="218">
        <v>23.266486111191107</v>
      </c>
      <c r="E39" s="218">
        <v>56.139850355929852</v>
      </c>
      <c r="F39" s="218">
        <v>100</v>
      </c>
    </row>
    <row r="40" spans="1:6" ht="14.1" customHeight="1" x14ac:dyDescent="0.3">
      <c r="A40" s="594"/>
      <c r="B40" s="215" t="s">
        <v>64</v>
      </c>
      <c r="C40" s="218">
        <v>26.360593335615786</v>
      </c>
      <c r="D40" s="218">
        <v>23.077047367065866</v>
      </c>
      <c r="E40" s="218">
        <v>50.562359297318437</v>
      </c>
      <c r="F40" s="218">
        <v>100</v>
      </c>
    </row>
    <row r="41" spans="1:6" ht="14.1" customHeight="1" thickBot="1" x14ac:dyDescent="0.35">
      <c r="A41" s="594"/>
      <c r="B41" s="224" t="s">
        <v>65</v>
      </c>
      <c r="C41" s="225">
        <v>15.217131664582212</v>
      </c>
      <c r="D41" s="225">
        <v>24.470374517189438</v>
      </c>
      <c r="E41" s="225">
        <v>60.312493818229065</v>
      </c>
      <c r="F41" s="225">
        <v>100</v>
      </c>
    </row>
    <row r="42" spans="1:6" ht="14.1" customHeight="1" x14ac:dyDescent="0.3">
      <c r="A42" s="595" t="s">
        <v>219</v>
      </c>
      <c r="B42" s="215" t="s">
        <v>61</v>
      </c>
      <c r="C42" s="218">
        <v>11.425231814112548</v>
      </c>
      <c r="D42" s="218">
        <v>22.851987857978393</v>
      </c>
      <c r="E42" s="218">
        <v>65.722780327908907</v>
      </c>
      <c r="F42" s="218">
        <v>100</v>
      </c>
    </row>
    <row r="43" spans="1:6" ht="14.1" customHeight="1" x14ac:dyDescent="0.3">
      <c r="A43" s="594"/>
      <c r="B43" s="215" t="s">
        <v>62</v>
      </c>
      <c r="C43" s="218">
        <v>14.54664612814582</v>
      </c>
      <c r="D43" s="218">
        <v>26.813873335843112</v>
      </c>
      <c r="E43" s="218">
        <v>58.639480536009955</v>
      </c>
      <c r="F43" s="218">
        <v>100</v>
      </c>
    </row>
    <row r="44" spans="1:6" ht="14.1" customHeight="1" x14ac:dyDescent="0.3">
      <c r="A44" s="594"/>
      <c r="B44" s="215" t="s">
        <v>63</v>
      </c>
      <c r="C44" s="218">
        <v>19.651686589997777</v>
      </c>
      <c r="D44" s="218">
        <v>22.16264376934765</v>
      </c>
      <c r="E44" s="218">
        <v>58.185669640654503</v>
      </c>
      <c r="F44" s="218">
        <v>100</v>
      </c>
    </row>
    <row r="45" spans="1:6" ht="14.1" customHeight="1" x14ac:dyDescent="0.3">
      <c r="A45" s="594"/>
      <c r="B45" s="215" t="s">
        <v>64</v>
      </c>
      <c r="C45" s="218">
        <v>19.106254427086974</v>
      </c>
      <c r="D45" s="218">
        <v>25.497960314063288</v>
      </c>
      <c r="E45" s="218">
        <v>55.395785258849905</v>
      </c>
      <c r="F45" s="218">
        <v>100</v>
      </c>
    </row>
    <row r="46" spans="1:6" ht="14.1" customHeight="1" thickBot="1" x14ac:dyDescent="0.35">
      <c r="A46" s="596"/>
      <c r="B46" s="216" t="s">
        <v>65</v>
      </c>
      <c r="C46" s="219">
        <v>14.618184002329112</v>
      </c>
      <c r="D46" s="219">
        <v>28.96550643593908</v>
      </c>
      <c r="E46" s="219">
        <v>56.416309561731524</v>
      </c>
      <c r="F46" s="219">
        <v>100</v>
      </c>
    </row>
    <row r="47" spans="1:6" ht="11.1" customHeight="1" thickTop="1" x14ac:dyDescent="0.3">
      <c r="A47" s="653" t="s">
        <v>220</v>
      </c>
      <c r="B47" s="653"/>
      <c r="C47" s="653"/>
      <c r="D47" s="653"/>
      <c r="E47" s="653"/>
      <c r="F47" s="653"/>
    </row>
  </sheetData>
  <mergeCells count="14">
    <mergeCell ref="A37:A41"/>
    <mergeCell ref="A42:A46"/>
    <mergeCell ref="A47:F47"/>
    <mergeCell ref="A2:B2"/>
    <mergeCell ref="A26:B26"/>
    <mergeCell ref="A18:A22"/>
    <mergeCell ref="A23:F23"/>
    <mergeCell ref="A25:F25"/>
    <mergeCell ref="A27:A31"/>
    <mergeCell ref="A1:F1"/>
    <mergeCell ref="A3:A7"/>
    <mergeCell ref="A8:A12"/>
    <mergeCell ref="A13:A17"/>
    <mergeCell ref="A32:A3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"/>
  <sheetViews>
    <sheetView zoomScale="70" zoomScaleNormal="70" workbookViewId="0">
      <selection sqref="A1:U1"/>
    </sheetView>
  </sheetViews>
  <sheetFormatPr baseColWidth="10" defaultColWidth="9.109375" defaultRowHeight="14.4" x14ac:dyDescent="0.3"/>
  <cols>
    <col min="1" max="1" width="12.6640625" customWidth="1"/>
    <col min="2" max="21" width="8.5546875" customWidth="1"/>
  </cols>
  <sheetData>
    <row r="1" spans="1:21" ht="57" customHeight="1" thickBot="1" x14ac:dyDescent="0.35">
      <c r="A1" s="656" t="s">
        <v>293</v>
      </c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6"/>
      <c r="P1" s="656"/>
      <c r="Q1" s="656"/>
      <c r="R1" s="656"/>
      <c r="S1" s="656"/>
      <c r="T1" s="656"/>
      <c r="U1" s="656"/>
    </row>
    <row r="2" spans="1:21" ht="12.9" customHeight="1" thickTop="1" x14ac:dyDescent="0.3">
      <c r="A2" s="657" t="s">
        <v>294</v>
      </c>
      <c r="B2" s="644" t="s">
        <v>217</v>
      </c>
      <c r="C2" s="644"/>
      <c r="D2" s="644"/>
      <c r="E2" s="644"/>
      <c r="F2" s="644"/>
      <c r="G2" s="645" t="s">
        <v>218</v>
      </c>
      <c r="H2" s="644"/>
      <c r="I2" s="644"/>
      <c r="J2" s="644"/>
      <c r="K2" s="646"/>
      <c r="L2" s="659" t="s">
        <v>163</v>
      </c>
      <c r="M2" s="660"/>
      <c r="N2" s="660"/>
      <c r="O2" s="660"/>
      <c r="P2" s="660"/>
      <c r="Q2" s="661" t="s">
        <v>219</v>
      </c>
      <c r="R2" s="660"/>
      <c r="S2" s="660"/>
      <c r="T2" s="660"/>
      <c r="U2" s="660"/>
    </row>
    <row r="3" spans="1:21" ht="12.9" customHeight="1" thickBot="1" x14ac:dyDescent="0.35">
      <c r="A3" s="658"/>
      <c r="B3" s="282" t="s">
        <v>61</v>
      </c>
      <c r="C3" s="282" t="s">
        <v>62</v>
      </c>
      <c r="D3" s="282" t="s">
        <v>63</v>
      </c>
      <c r="E3" s="282" t="s">
        <v>64</v>
      </c>
      <c r="F3" s="282" t="s">
        <v>65</v>
      </c>
      <c r="G3" s="271" t="s">
        <v>61</v>
      </c>
      <c r="H3" s="243" t="s">
        <v>62</v>
      </c>
      <c r="I3" s="243" t="s">
        <v>63</v>
      </c>
      <c r="J3" s="243" t="s">
        <v>64</v>
      </c>
      <c r="K3" s="247" t="s">
        <v>65</v>
      </c>
      <c r="L3" s="246" t="s">
        <v>61</v>
      </c>
      <c r="M3" s="243" t="s">
        <v>62</v>
      </c>
      <c r="N3" s="243" t="s">
        <v>63</v>
      </c>
      <c r="O3" s="243" t="s">
        <v>64</v>
      </c>
      <c r="P3" s="243" t="s">
        <v>65</v>
      </c>
      <c r="Q3" s="267" t="s">
        <v>61</v>
      </c>
      <c r="R3" s="243" t="s">
        <v>62</v>
      </c>
      <c r="S3" s="243" t="s">
        <v>63</v>
      </c>
      <c r="T3" s="243" t="s">
        <v>64</v>
      </c>
      <c r="U3" s="243" t="s">
        <v>65</v>
      </c>
    </row>
    <row r="4" spans="1:21" ht="14.1" customHeight="1" thickTop="1" x14ac:dyDescent="0.3">
      <c r="A4" s="283" t="s">
        <v>295</v>
      </c>
      <c r="B4" s="285">
        <v>6.081290753098477</v>
      </c>
      <c r="C4" s="285">
        <v>7.408599198430819</v>
      </c>
      <c r="D4" s="285">
        <v>11.256331682486374</v>
      </c>
      <c r="E4" s="285">
        <v>9.6674276526236014</v>
      </c>
      <c r="F4" s="285">
        <v>8.2243168988213302</v>
      </c>
      <c r="G4" s="272">
        <v>1.7217732728561623</v>
      </c>
      <c r="H4" s="244">
        <v>1.3078201096938178</v>
      </c>
      <c r="I4" s="244">
        <v>1.3401842423564136</v>
      </c>
      <c r="J4" s="244">
        <v>2.3970033350385656</v>
      </c>
      <c r="K4" s="249">
        <v>1.3133943457776722</v>
      </c>
      <c r="L4" s="248">
        <v>4.4036793777753971</v>
      </c>
      <c r="M4" s="244">
        <v>6.2052477633893464</v>
      </c>
      <c r="N4" s="244">
        <v>8.8507493857274913</v>
      </c>
      <c r="O4" s="244">
        <v>10.639881246976531</v>
      </c>
      <c r="P4" s="244">
        <v>6.903424504541376</v>
      </c>
      <c r="Q4" s="268">
        <v>6.5887243353028575</v>
      </c>
      <c r="R4" s="244">
        <v>10.753858585849619</v>
      </c>
      <c r="S4" s="244">
        <v>15.929474868725896</v>
      </c>
      <c r="T4" s="244">
        <v>14.577700551263852</v>
      </c>
      <c r="U4" s="244">
        <v>13.676692554113052</v>
      </c>
    </row>
    <row r="5" spans="1:21" ht="14.1" customHeight="1" x14ac:dyDescent="0.3">
      <c r="A5" s="284" t="s">
        <v>296</v>
      </c>
      <c r="B5" s="286">
        <v>4.2924195248065899</v>
      </c>
      <c r="C5" s="286">
        <v>6.4363632330498843</v>
      </c>
      <c r="D5" s="286">
        <v>5.577151069219437</v>
      </c>
      <c r="E5" s="286">
        <v>9.8094339065086267</v>
      </c>
      <c r="F5" s="286">
        <v>4.1980784396214226</v>
      </c>
      <c r="G5" s="273">
        <v>2.1452519409099335</v>
      </c>
      <c r="H5" s="245">
        <v>0.10637227266621961</v>
      </c>
      <c r="I5" s="245">
        <v>2.4482694691208318</v>
      </c>
      <c r="J5" s="245">
        <v>1.7963114493795767</v>
      </c>
      <c r="K5" s="251">
        <v>0</v>
      </c>
      <c r="L5" s="250">
        <v>2.2592113091539758</v>
      </c>
      <c r="M5" s="245">
        <v>2.2433022831537497</v>
      </c>
      <c r="N5" s="245">
        <v>4.3839959239564816</v>
      </c>
      <c r="O5" s="245">
        <v>9.0904601218187349</v>
      </c>
      <c r="P5" s="245">
        <v>2.2363370643048261</v>
      </c>
      <c r="Q5" s="269">
        <v>6.2312183045629839</v>
      </c>
      <c r="R5" s="245">
        <v>3.5293138963167721</v>
      </c>
      <c r="S5" s="245">
        <v>11.283605398393902</v>
      </c>
      <c r="T5" s="245">
        <v>11.918094809156406</v>
      </c>
      <c r="U5" s="245">
        <v>4.4990315199758051</v>
      </c>
    </row>
    <row r="6" spans="1:21" ht="14.1" customHeight="1" x14ac:dyDescent="0.3">
      <c r="A6" s="284" t="s">
        <v>297</v>
      </c>
      <c r="B6" s="286">
        <v>5.2862415654718422</v>
      </c>
      <c r="C6" s="286">
        <v>5.4568826533829995</v>
      </c>
      <c r="D6" s="286">
        <v>5.1566305525059715</v>
      </c>
      <c r="E6" s="286">
        <v>3.4902451345264125</v>
      </c>
      <c r="F6" s="286">
        <v>6.0207045361879814</v>
      </c>
      <c r="G6" s="273">
        <v>0.23789918675170835</v>
      </c>
      <c r="H6" s="245">
        <v>0.72387062332592389</v>
      </c>
      <c r="I6" s="245">
        <v>0.46915957869338826</v>
      </c>
      <c r="J6" s="245">
        <v>0.7753936805106254</v>
      </c>
      <c r="K6" s="251">
        <v>0.22638501011042453</v>
      </c>
      <c r="L6" s="250">
        <v>2.9782575124536708</v>
      </c>
      <c r="M6" s="245">
        <v>5.1201370723285216</v>
      </c>
      <c r="N6" s="245">
        <v>3.3431375569609694</v>
      </c>
      <c r="O6" s="245">
        <v>2.3600569212258877</v>
      </c>
      <c r="P6" s="245">
        <v>3.2734090048286548</v>
      </c>
      <c r="Q6" s="269">
        <v>5.6538939146248799</v>
      </c>
      <c r="R6" s="245">
        <v>9.053529170354059</v>
      </c>
      <c r="S6" s="245">
        <v>7.2909894241468685</v>
      </c>
      <c r="T6" s="245">
        <v>4.8317250565087582</v>
      </c>
      <c r="U6" s="245">
        <v>6.3905708170863527</v>
      </c>
    </row>
    <row r="7" spans="1:21" ht="14.1" customHeight="1" x14ac:dyDescent="0.3">
      <c r="A7" s="284" t="s">
        <v>298</v>
      </c>
      <c r="B7" s="286">
        <v>10.05646583051341</v>
      </c>
      <c r="C7" s="286">
        <v>10.614703290202206</v>
      </c>
      <c r="D7" s="286">
        <v>11.352633237866357</v>
      </c>
      <c r="E7" s="286">
        <v>8.7733059890782208</v>
      </c>
      <c r="F7" s="286">
        <v>12.630911834934613</v>
      </c>
      <c r="G7" s="273">
        <v>2.3076596730951762</v>
      </c>
      <c r="H7" s="245">
        <v>2.2873168198474154</v>
      </c>
      <c r="I7" s="245">
        <v>3.4832557549519874</v>
      </c>
      <c r="J7" s="245">
        <v>4.0084986121724739</v>
      </c>
      <c r="K7" s="251">
        <v>2.3976374302378889</v>
      </c>
      <c r="L7" s="250">
        <v>7.5733536967744843</v>
      </c>
      <c r="M7" s="245">
        <v>9.5065178476335923</v>
      </c>
      <c r="N7" s="245">
        <v>8.4397137119864158</v>
      </c>
      <c r="O7" s="245">
        <v>7.6559538785078356</v>
      </c>
      <c r="P7" s="245">
        <v>10.070546715449844</v>
      </c>
      <c r="Q7" s="269">
        <v>13.834706730972687</v>
      </c>
      <c r="R7" s="245">
        <v>13.611482644605077</v>
      </c>
      <c r="S7" s="245">
        <v>15.878985636534463</v>
      </c>
      <c r="T7" s="245">
        <v>14.225487962395848</v>
      </c>
      <c r="U7" s="245">
        <v>18.468711802572571</v>
      </c>
    </row>
    <row r="8" spans="1:21" ht="14.1" customHeight="1" x14ac:dyDescent="0.3">
      <c r="A8" s="284" t="s">
        <v>299</v>
      </c>
      <c r="B8" s="286">
        <v>5.7766574274507843</v>
      </c>
      <c r="C8" s="286">
        <v>8.0300471607125647</v>
      </c>
      <c r="D8" s="286">
        <v>9.244612631854416</v>
      </c>
      <c r="E8" s="286">
        <v>8.5663039817923607</v>
      </c>
      <c r="F8" s="286">
        <v>10.031329705082838</v>
      </c>
      <c r="G8" s="273">
        <v>3.2810187338653409</v>
      </c>
      <c r="H8" s="245">
        <v>2.6710049101330005</v>
      </c>
      <c r="I8" s="245">
        <v>3.5425752156657717</v>
      </c>
      <c r="J8" s="245">
        <v>2.0704631379955556</v>
      </c>
      <c r="K8" s="251">
        <v>1.3916423793830976</v>
      </c>
      <c r="L8" s="250">
        <v>5.6298577338757223</v>
      </c>
      <c r="M8" s="245">
        <v>5.809607112303727</v>
      </c>
      <c r="N8" s="245">
        <v>6.521290331537184</v>
      </c>
      <c r="O8" s="245">
        <v>5.1755037274258093</v>
      </c>
      <c r="P8" s="245">
        <v>7.7208863760646649</v>
      </c>
      <c r="Q8" s="269">
        <v>11.847813354488835</v>
      </c>
      <c r="R8" s="245">
        <v>12.371794290590293</v>
      </c>
      <c r="S8" s="245">
        <v>14.103098084551425</v>
      </c>
      <c r="T8" s="245">
        <v>13.576143611012595</v>
      </c>
      <c r="U8" s="245">
        <v>15.202912834565788</v>
      </c>
    </row>
    <row r="9" spans="1:21" ht="14.1" customHeight="1" x14ac:dyDescent="0.3">
      <c r="A9" s="284" t="s">
        <v>300</v>
      </c>
      <c r="B9" s="286">
        <v>3.190028536868339</v>
      </c>
      <c r="C9" s="286">
        <v>6.8981770093095722</v>
      </c>
      <c r="D9" s="286">
        <v>6.3408329043589919</v>
      </c>
      <c r="E9" s="286">
        <v>7.9932132632787161</v>
      </c>
      <c r="F9" s="286">
        <v>7.5707902774069789</v>
      </c>
      <c r="G9" s="273">
        <v>1.3424394609184531</v>
      </c>
      <c r="H9" s="245">
        <v>1.0790513478914827</v>
      </c>
      <c r="I9" s="245">
        <v>0.71463958862896393</v>
      </c>
      <c r="J9" s="245">
        <v>0.25431200186196962</v>
      </c>
      <c r="K9" s="251">
        <v>6.0488225071192406E-2</v>
      </c>
      <c r="L9" s="250">
        <v>2.0098720344045229</v>
      </c>
      <c r="M9" s="245">
        <v>2.9434433427740823</v>
      </c>
      <c r="N9" s="245">
        <v>5.947404198909692</v>
      </c>
      <c r="O9" s="245">
        <v>5.5614130693335104</v>
      </c>
      <c r="P9" s="245">
        <v>4.5996934455657259</v>
      </c>
      <c r="Q9" s="269">
        <v>5.2226166115988697</v>
      </c>
      <c r="R9" s="245">
        <v>6.016205571044714</v>
      </c>
      <c r="S9" s="245">
        <v>11.682226498288657</v>
      </c>
      <c r="T9" s="245">
        <v>7.8028510447423969</v>
      </c>
      <c r="U9" s="245">
        <v>10.057279598362992</v>
      </c>
    </row>
    <row r="10" spans="1:21" ht="14.1" customHeight="1" x14ac:dyDescent="0.3">
      <c r="A10" s="284" t="s">
        <v>301</v>
      </c>
      <c r="B10" s="286">
        <v>5.2781463454215052</v>
      </c>
      <c r="C10" s="286">
        <v>3.7731037050461804</v>
      </c>
      <c r="D10" s="286">
        <v>4.9401875412976786</v>
      </c>
      <c r="E10" s="286">
        <v>5.8320441638888507</v>
      </c>
      <c r="F10" s="286">
        <v>6.4879526431045571</v>
      </c>
      <c r="G10" s="273">
        <v>1.0771738220832179</v>
      </c>
      <c r="H10" s="245">
        <v>0.15738188815282342</v>
      </c>
      <c r="I10" s="245">
        <v>0.60402949985923615</v>
      </c>
      <c r="J10" s="245">
        <v>1.163611554747082</v>
      </c>
      <c r="K10" s="251">
        <v>0.96339564636730957</v>
      </c>
      <c r="L10" s="250">
        <v>2.8382244734661697</v>
      </c>
      <c r="M10" s="245">
        <v>2.4144243252696129</v>
      </c>
      <c r="N10" s="245">
        <v>4.2756176640341241</v>
      </c>
      <c r="O10" s="245">
        <v>4.6698698681694122</v>
      </c>
      <c r="P10" s="245">
        <v>3.9940595871296196</v>
      </c>
      <c r="Q10" s="269">
        <v>3.4876898070245583</v>
      </c>
      <c r="R10" s="245">
        <v>10.324075899333378</v>
      </c>
      <c r="S10" s="245">
        <v>8.4350186027033622</v>
      </c>
      <c r="T10" s="245">
        <v>8.5719729727481404</v>
      </c>
      <c r="U10" s="245">
        <v>7.9627132190261536</v>
      </c>
    </row>
    <row r="11" spans="1:21" ht="14.1" customHeight="1" x14ac:dyDescent="0.3">
      <c r="A11" s="284" t="s">
        <v>302</v>
      </c>
      <c r="B11" s="286">
        <v>4.7057114589162028</v>
      </c>
      <c r="C11" s="286">
        <v>6.8873282940794676</v>
      </c>
      <c r="D11" s="286">
        <v>6.9789641669147597</v>
      </c>
      <c r="E11" s="286">
        <v>5.1116221259715271</v>
      </c>
      <c r="F11" s="286">
        <v>5.7022253308730262</v>
      </c>
      <c r="G11" s="273">
        <v>0.41963633947752854</v>
      </c>
      <c r="H11" s="245">
        <v>0.7614267493715271</v>
      </c>
      <c r="I11" s="245">
        <v>1.6345006522139276</v>
      </c>
      <c r="J11" s="245">
        <v>0.29884131697269073</v>
      </c>
      <c r="K11" s="251">
        <v>0.14887163050066157</v>
      </c>
      <c r="L11" s="250">
        <v>3.1253747225564088</v>
      </c>
      <c r="M11" s="245">
        <v>4.0800976592636955</v>
      </c>
      <c r="N11" s="245">
        <v>3.9844155146416447</v>
      </c>
      <c r="O11" s="245">
        <v>3.9559755092860707</v>
      </c>
      <c r="P11" s="245">
        <v>5.0216941635283927</v>
      </c>
      <c r="Q11" s="269">
        <v>6.5719800475820502</v>
      </c>
      <c r="R11" s="245">
        <v>8.691417007409509</v>
      </c>
      <c r="S11" s="245">
        <v>7.7440141968189256</v>
      </c>
      <c r="T11" s="245">
        <v>8.5753982011503798</v>
      </c>
      <c r="U11" s="245">
        <v>12.556138422537177</v>
      </c>
    </row>
    <row r="12" spans="1:21" ht="14.1" customHeight="1" x14ac:dyDescent="0.3">
      <c r="A12" s="284" t="s">
        <v>303</v>
      </c>
      <c r="B12" s="286">
        <v>2.0769497429101684</v>
      </c>
      <c r="C12" s="286">
        <v>6.7908131637672415</v>
      </c>
      <c r="D12" s="286">
        <v>5.1269932088589485</v>
      </c>
      <c r="E12" s="286">
        <v>3.9893043524275584</v>
      </c>
      <c r="F12" s="286">
        <v>4.5762587866353721</v>
      </c>
      <c r="G12" s="273">
        <v>0.27513603521227908</v>
      </c>
      <c r="H12" s="245">
        <v>2.3777666200318235</v>
      </c>
      <c r="I12" s="245">
        <v>1.8491709304636905</v>
      </c>
      <c r="J12" s="245">
        <v>0.70394718595087968</v>
      </c>
      <c r="K12" s="251">
        <v>6.9980391079317986E-2</v>
      </c>
      <c r="L12" s="250">
        <v>1.3067039110878365</v>
      </c>
      <c r="M12" s="245">
        <v>4.4606060769460418</v>
      </c>
      <c r="N12" s="245">
        <v>4.9799966507953695</v>
      </c>
      <c r="O12" s="245">
        <v>3.6913159035336172</v>
      </c>
      <c r="P12" s="245">
        <v>2.4268177640532866</v>
      </c>
      <c r="Q12" s="269">
        <v>4.7174890595598873</v>
      </c>
      <c r="R12" s="245">
        <v>6.724687801842907</v>
      </c>
      <c r="S12" s="245">
        <v>7.5423048732839533</v>
      </c>
      <c r="T12" s="245">
        <v>8.2174650876773843</v>
      </c>
      <c r="U12" s="245">
        <v>7.8592708673081058</v>
      </c>
    </row>
    <row r="13" spans="1:21" ht="14.1" customHeight="1" x14ac:dyDescent="0.3">
      <c r="A13" s="284" t="s">
        <v>304</v>
      </c>
      <c r="B13" s="286">
        <v>1.2006464164287385</v>
      </c>
      <c r="C13" s="286">
        <v>2.5354667756947387</v>
      </c>
      <c r="D13" s="286">
        <v>4.8046988618522493</v>
      </c>
      <c r="E13" s="286">
        <v>4.6892632106775345</v>
      </c>
      <c r="F13" s="286">
        <v>4.0206806197959004</v>
      </c>
      <c r="G13" s="273">
        <v>0.89406075846979638</v>
      </c>
      <c r="H13" s="245">
        <v>9.3866078660494914E-2</v>
      </c>
      <c r="I13" s="245">
        <v>0.17623377989011857</v>
      </c>
      <c r="J13" s="245">
        <v>0</v>
      </c>
      <c r="K13" s="251">
        <v>0.2048065026532917</v>
      </c>
      <c r="L13" s="250">
        <v>0.43890034820508528</v>
      </c>
      <c r="M13" s="245">
        <v>1.9627778624121743</v>
      </c>
      <c r="N13" s="245">
        <v>4.1255922081887206</v>
      </c>
      <c r="O13" s="245">
        <v>1.2935589565368328</v>
      </c>
      <c r="P13" s="245">
        <v>3.0661478124420398</v>
      </c>
      <c r="Q13" s="269">
        <v>1.8672825036572744</v>
      </c>
      <c r="R13" s="245">
        <v>8.4101965141557873</v>
      </c>
      <c r="S13" s="245">
        <v>8.5376806512941386</v>
      </c>
      <c r="T13" s="245">
        <v>3.6708545064740741</v>
      </c>
      <c r="U13" s="245">
        <v>5.4263817000565453</v>
      </c>
    </row>
    <row r="14" spans="1:21" ht="14.1" customHeight="1" thickBot="1" x14ac:dyDescent="0.35">
      <c r="A14" s="284" t="s">
        <v>305</v>
      </c>
      <c r="B14" s="286">
        <v>3.4402045989465857</v>
      </c>
      <c r="C14" s="286">
        <v>4.850941398387417</v>
      </c>
      <c r="D14" s="286">
        <v>8.4410712211111303</v>
      </c>
      <c r="E14" s="286">
        <v>7.9403430726305002</v>
      </c>
      <c r="F14" s="286">
        <v>9.2981452944033816</v>
      </c>
      <c r="G14" s="273">
        <v>0</v>
      </c>
      <c r="H14" s="245">
        <v>0.15692284757361957</v>
      </c>
      <c r="I14" s="245">
        <v>0.58391852583489456</v>
      </c>
      <c r="J14" s="245">
        <v>0.68120555627674928</v>
      </c>
      <c r="K14" s="251">
        <v>0.23900875714544839</v>
      </c>
      <c r="L14" s="250">
        <v>1.7586953154927758</v>
      </c>
      <c r="M14" s="245">
        <v>2.1531588273388689</v>
      </c>
      <c r="N14" s="245">
        <v>3.7896971596771261</v>
      </c>
      <c r="O14" s="245">
        <v>8.0721209495183341</v>
      </c>
      <c r="P14" s="245">
        <v>5.9107117446601087</v>
      </c>
      <c r="Q14" s="269">
        <v>4.8661455031285135</v>
      </c>
      <c r="R14" s="245">
        <v>6.8617163123557141</v>
      </c>
      <c r="S14" s="245">
        <v>6.6922513382392914</v>
      </c>
      <c r="T14" s="245">
        <v>11.384014558019192</v>
      </c>
      <c r="U14" s="245">
        <v>10.266646684932585</v>
      </c>
    </row>
    <row r="15" spans="1:21" ht="14.1" customHeight="1" thickBot="1" x14ac:dyDescent="0.35">
      <c r="A15" s="254" t="s">
        <v>120</v>
      </c>
      <c r="B15" s="255">
        <v>5.6639020932687929</v>
      </c>
      <c r="C15" s="255">
        <v>7.2624365667372803</v>
      </c>
      <c r="D15" s="255">
        <v>8.1798432395376111</v>
      </c>
      <c r="E15" s="255">
        <v>7.0529277112487119</v>
      </c>
      <c r="F15" s="255">
        <v>7.9809125852288147</v>
      </c>
      <c r="G15" s="274">
        <v>1.5261002068865537</v>
      </c>
      <c r="H15" s="255">
        <v>1.4320802363610572</v>
      </c>
      <c r="I15" s="255">
        <v>1.9962950759564029</v>
      </c>
      <c r="J15" s="255">
        <v>1.5942557277113416</v>
      </c>
      <c r="K15" s="257">
        <v>0.90221737729435869</v>
      </c>
      <c r="L15" s="256">
        <v>4.1689290000348063</v>
      </c>
      <c r="M15" s="255">
        <v>5.2824693809617385</v>
      </c>
      <c r="N15" s="255">
        <v>5.9031964178640015</v>
      </c>
      <c r="O15" s="255">
        <v>5.7205861579164168</v>
      </c>
      <c r="P15" s="255">
        <v>6.0660551798158995</v>
      </c>
      <c r="Q15" s="270">
        <v>8.1638242447283194</v>
      </c>
      <c r="R15" s="255">
        <v>10.050948856637735</v>
      </c>
      <c r="S15" s="255">
        <v>11.489304728112625</v>
      </c>
      <c r="T15" s="255">
        <v>10.759007138854402</v>
      </c>
      <c r="U15" s="255">
        <v>12.519467183104089</v>
      </c>
    </row>
    <row r="16" spans="1:21" ht="11.1" customHeight="1" thickTop="1" x14ac:dyDescent="0.3">
      <c r="A16" s="662" t="s">
        <v>220</v>
      </c>
      <c r="B16" s="662"/>
      <c r="C16" s="662"/>
      <c r="D16" s="662"/>
      <c r="E16" s="662"/>
      <c r="F16" s="662"/>
      <c r="G16" s="662"/>
      <c r="H16" s="662"/>
      <c r="I16" s="662"/>
      <c r="J16" s="662"/>
      <c r="K16" s="662"/>
      <c r="L16" s="662"/>
      <c r="M16" s="662"/>
      <c r="N16" s="662"/>
      <c r="O16" s="662"/>
      <c r="P16" s="662"/>
      <c r="Q16" s="662"/>
      <c r="R16" s="662"/>
      <c r="S16" s="662"/>
      <c r="T16" s="662"/>
      <c r="U16" s="662"/>
    </row>
    <row r="18" spans="1:21" ht="57" customHeight="1" thickBot="1" x14ac:dyDescent="0.35">
      <c r="A18" s="663" t="s">
        <v>420</v>
      </c>
      <c r="B18" s="656"/>
      <c r="C18" s="656"/>
      <c r="D18" s="656"/>
      <c r="E18" s="656"/>
      <c r="F18" s="656"/>
      <c r="G18" s="656"/>
      <c r="H18" s="656"/>
      <c r="I18" s="656"/>
      <c r="J18" s="656"/>
      <c r="K18" s="656"/>
      <c r="L18" s="656"/>
      <c r="M18" s="656"/>
      <c r="N18" s="656"/>
      <c r="O18" s="656"/>
      <c r="P18" s="656"/>
      <c r="Q18" s="656"/>
      <c r="R18" s="656"/>
      <c r="S18" s="656"/>
      <c r="T18" s="656"/>
      <c r="U18" s="656"/>
    </row>
    <row r="19" spans="1:21" ht="12.9" customHeight="1" thickTop="1" x14ac:dyDescent="0.3">
      <c r="A19" s="657" t="s">
        <v>294</v>
      </c>
      <c r="B19" s="644" t="s">
        <v>217</v>
      </c>
      <c r="C19" s="644"/>
      <c r="D19" s="644"/>
      <c r="E19" s="644"/>
      <c r="F19" s="644"/>
      <c r="G19" s="645" t="s">
        <v>218</v>
      </c>
      <c r="H19" s="644"/>
      <c r="I19" s="644"/>
      <c r="J19" s="644"/>
      <c r="K19" s="646"/>
      <c r="L19" s="659" t="s">
        <v>163</v>
      </c>
      <c r="M19" s="660"/>
      <c r="N19" s="660"/>
      <c r="O19" s="660"/>
      <c r="P19" s="660"/>
      <c r="Q19" s="661" t="s">
        <v>219</v>
      </c>
      <c r="R19" s="660"/>
      <c r="S19" s="660"/>
      <c r="T19" s="660"/>
      <c r="U19" s="660"/>
    </row>
    <row r="20" spans="1:21" ht="12.9" customHeight="1" thickBot="1" x14ac:dyDescent="0.35">
      <c r="A20" s="658"/>
      <c r="B20" s="282" t="s">
        <v>61</v>
      </c>
      <c r="C20" s="282" t="s">
        <v>62</v>
      </c>
      <c r="D20" s="282" t="s">
        <v>63</v>
      </c>
      <c r="E20" s="282" t="s">
        <v>64</v>
      </c>
      <c r="F20" s="282" t="s">
        <v>65</v>
      </c>
      <c r="G20" s="271" t="s">
        <v>61</v>
      </c>
      <c r="H20" s="243" t="s">
        <v>62</v>
      </c>
      <c r="I20" s="243" t="s">
        <v>63</v>
      </c>
      <c r="J20" s="243" t="s">
        <v>64</v>
      </c>
      <c r="K20" s="247" t="s">
        <v>65</v>
      </c>
      <c r="L20" s="246" t="s">
        <v>61</v>
      </c>
      <c r="M20" s="243" t="s">
        <v>62</v>
      </c>
      <c r="N20" s="243" t="s">
        <v>63</v>
      </c>
      <c r="O20" s="243" t="s">
        <v>64</v>
      </c>
      <c r="P20" s="243" t="s">
        <v>65</v>
      </c>
      <c r="Q20" s="267" t="s">
        <v>61</v>
      </c>
      <c r="R20" s="243" t="s">
        <v>62</v>
      </c>
      <c r="S20" s="243" t="s">
        <v>63</v>
      </c>
      <c r="T20" s="243" t="s">
        <v>64</v>
      </c>
      <c r="U20" s="282" t="s">
        <v>65</v>
      </c>
    </row>
    <row r="21" spans="1:21" ht="14.1" customHeight="1" thickTop="1" x14ac:dyDescent="0.3">
      <c r="A21" s="283" t="s">
        <v>295</v>
      </c>
      <c r="B21" s="285">
        <v>13.205938524159505</v>
      </c>
      <c r="C21" s="285">
        <v>13.14999321057034</v>
      </c>
      <c r="D21" s="285">
        <v>17.497915631507102</v>
      </c>
      <c r="E21" s="285">
        <v>17.148780044983553</v>
      </c>
      <c r="F21" s="285">
        <v>13.115003316977148</v>
      </c>
      <c r="G21" s="272">
        <v>13.876570660054647</v>
      </c>
      <c r="H21" s="244">
        <v>11.772059273980345</v>
      </c>
      <c r="I21" s="244">
        <v>8.5363888345348471</v>
      </c>
      <c r="J21" s="244">
        <v>18.810588557628382</v>
      </c>
      <c r="K21" s="249">
        <v>18.526998965494986</v>
      </c>
      <c r="L21" s="248">
        <v>12.992132268201178</v>
      </c>
      <c r="M21" s="244">
        <v>15.142372260789754</v>
      </c>
      <c r="N21" s="244">
        <v>19.064579346946307</v>
      </c>
      <c r="O21" s="244">
        <v>23.269549842053152</v>
      </c>
      <c r="P21" s="244">
        <v>14.483694167907831</v>
      </c>
      <c r="Q21" s="268">
        <v>9.9265179408125341</v>
      </c>
      <c r="R21" s="285">
        <v>13.792056844319269</v>
      </c>
      <c r="S21" s="285">
        <v>17.629586583662675</v>
      </c>
      <c r="T21" s="285">
        <v>16.951516673033762</v>
      </c>
      <c r="U21" s="285">
        <v>13.903250919847396</v>
      </c>
    </row>
    <row r="22" spans="1:21" ht="14.1" customHeight="1" x14ac:dyDescent="0.3">
      <c r="A22" s="284" t="s">
        <v>296</v>
      </c>
      <c r="B22" s="286">
        <v>1.488078464093056</v>
      </c>
      <c r="C22" s="286">
        <v>1.9045202888902095</v>
      </c>
      <c r="D22" s="286">
        <v>1.4038345170982287</v>
      </c>
      <c r="E22" s="286">
        <v>2.7054174923199539</v>
      </c>
      <c r="F22" s="286">
        <v>1.0464782324159014</v>
      </c>
      <c r="G22" s="273">
        <v>2.760162553897668</v>
      </c>
      <c r="H22" s="245">
        <v>0.15962043765714296</v>
      </c>
      <c r="I22" s="245">
        <v>2.5251255144897464</v>
      </c>
      <c r="J22" s="245">
        <v>2.1917117350784792</v>
      </c>
      <c r="K22" s="251">
        <v>0</v>
      </c>
      <c r="L22" s="250">
        <v>1.0640738291275242</v>
      </c>
      <c r="M22" s="245">
        <v>0.91259528430828873</v>
      </c>
      <c r="N22" s="245">
        <v>1.5290841859330595</v>
      </c>
      <c r="O22" s="245">
        <v>3.0910434935626374</v>
      </c>
      <c r="P22" s="245">
        <v>0.73343749667439018</v>
      </c>
      <c r="Q22" s="269">
        <v>1.4987138733000145</v>
      </c>
      <c r="R22" s="286">
        <v>0.75458928382655543</v>
      </c>
      <c r="S22" s="286">
        <v>2.0221000063351018</v>
      </c>
      <c r="T22" s="286">
        <v>2.1547377540532242</v>
      </c>
      <c r="U22" s="286">
        <v>0.71493308248171528</v>
      </c>
    </row>
    <row r="23" spans="1:21" ht="14.1" customHeight="1" x14ac:dyDescent="0.3">
      <c r="A23" s="284" t="s">
        <v>297</v>
      </c>
      <c r="B23" s="286">
        <v>6.7594554053596854</v>
      </c>
      <c r="C23" s="286">
        <v>5.47623357197521</v>
      </c>
      <c r="D23" s="286">
        <v>4.6000604395194111</v>
      </c>
      <c r="E23" s="286">
        <v>3.7133837587204481</v>
      </c>
      <c r="F23" s="286">
        <v>5.4657966498166051</v>
      </c>
      <c r="G23" s="273">
        <v>1.1289906511342529</v>
      </c>
      <c r="H23" s="245">
        <v>3.683946390769647</v>
      </c>
      <c r="I23" s="245">
        <v>1.7148982348124082</v>
      </c>
      <c r="J23" s="245">
        <v>3.649619656773802</v>
      </c>
      <c r="K23" s="251">
        <v>1.81800548272502</v>
      </c>
      <c r="L23" s="250">
        <v>5.1739018591954782</v>
      </c>
      <c r="M23" s="245">
        <v>7.0642213688091715</v>
      </c>
      <c r="N23" s="245">
        <v>4.1324681393085516</v>
      </c>
      <c r="O23" s="245">
        <v>3.0957457301163278</v>
      </c>
      <c r="P23" s="245">
        <v>3.9097827436979773</v>
      </c>
      <c r="Q23" s="269">
        <v>5.0157334464141297</v>
      </c>
      <c r="R23" s="286">
        <v>6.5649366994338916</v>
      </c>
      <c r="S23" s="286">
        <v>4.6305781828017549</v>
      </c>
      <c r="T23" s="286">
        <v>3.369871599338861</v>
      </c>
      <c r="U23" s="286">
        <v>3.6983883720039468</v>
      </c>
    </row>
    <row r="24" spans="1:21" ht="14.1" customHeight="1" x14ac:dyDescent="0.3">
      <c r="A24" s="284" t="s">
        <v>298</v>
      </c>
      <c r="B24" s="286">
        <v>29.288323184536747</v>
      </c>
      <c r="C24" s="286">
        <v>22.432156010853017</v>
      </c>
      <c r="D24" s="286">
        <v>21.924808502265027</v>
      </c>
      <c r="E24" s="286">
        <v>19.569794630412627</v>
      </c>
      <c r="F24" s="286">
        <v>23.908993008097053</v>
      </c>
      <c r="G24" s="273">
        <v>24.943280628074085</v>
      </c>
      <c r="H24" s="245">
        <v>24.513452509388049</v>
      </c>
      <c r="I24" s="245">
        <v>27.564163022048373</v>
      </c>
      <c r="J24" s="245">
        <v>39.556346787315114</v>
      </c>
      <c r="K24" s="251">
        <v>40.146848354105458</v>
      </c>
      <c r="L24" s="250">
        <v>29.965988228048523</v>
      </c>
      <c r="M24" s="245">
        <v>27.620401626454132</v>
      </c>
      <c r="N24" s="245">
        <v>22.585237568417792</v>
      </c>
      <c r="O24" s="245">
        <v>21.054803937016846</v>
      </c>
      <c r="P24" s="245">
        <v>25.079901538913713</v>
      </c>
      <c r="Q24" s="269">
        <v>27.95382064107519</v>
      </c>
      <c r="R24" s="286">
        <v>20.78470574640675</v>
      </c>
      <c r="S24" s="286">
        <v>21.832988680157715</v>
      </c>
      <c r="T24" s="286">
        <v>20.801152638171594</v>
      </c>
      <c r="U24" s="286">
        <v>22.285885431701512</v>
      </c>
    </row>
    <row r="25" spans="1:21" ht="14.1" customHeight="1" x14ac:dyDescent="0.3">
      <c r="A25" s="284" t="s">
        <v>299</v>
      </c>
      <c r="B25" s="286">
        <v>18.912228041733769</v>
      </c>
      <c r="C25" s="286">
        <v>19.87844541238152</v>
      </c>
      <c r="D25" s="286">
        <v>20.181872834400437</v>
      </c>
      <c r="E25" s="286">
        <v>21.656137231847669</v>
      </c>
      <c r="F25" s="286">
        <v>22.596081536291805</v>
      </c>
      <c r="G25" s="273">
        <v>39.866442131312347</v>
      </c>
      <c r="H25" s="245">
        <v>33.531579313232825</v>
      </c>
      <c r="I25" s="245">
        <v>31.6892581578551</v>
      </c>
      <c r="J25" s="245">
        <v>23.15615578665205</v>
      </c>
      <c r="K25" s="251">
        <v>27.729602270874864</v>
      </c>
      <c r="L25" s="250">
        <v>25.041177208061612</v>
      </c>
      <c r="M25" s="245">
        <v>19.772266185612335</v>
      </c>
      <c r="N25" s="245">
        <v>19.727135608274114</v>
      </c>
      <c r="O25" s="245">
        <v>16.131287838800326</v>
      </c>
      <c r="P25" s="245">
        <v>22.881684180564985</v>
      </c>
      <c r="Q25" s="269">
        <v>26.910785679166711</v>
      </c>
      <c r="R25" s="286">
        <v>22.129535636465029</v>
      </c>
      <c r="S25" s="286">
        <v>21.919896854747179</v>
      </c>
      <c r="T25" s="286">
        <v>22.498894202808561</v>
      </c>
      <c r="U25" s="286">
        <v>21.830724138673745</v>
      </c>
    </row>
    <row r="26" spans="1:21" ht="14.1" customHeight="1" x14ac:dyDescent="0.3">
      <c r="A26" s="284" t="s">
        <v>300</v>
      </c>
      <c r="B26" s="286">
        <v>3.1822314716945423</v>
      </c>
      <c r="C26" s="286">
        <v>5.7065192630109118</v>
      </c>
      <c r="D26" s="286">
        <v>4.3677034964895851</v>
      </c>
      <c r="E26" s="286">
        <v>6.6288043906454126</v>
      </c>
      <c r="F26" s="286">
        <v>5.9889057774915528</v>
      </c>
      <c r="G26" s="273">
        <v>4.9700939052248252</v>
      </c>
      <c r="H26" s="245">
        <v>4.5268287532533193</v>
      </c>
      <c r="I26" s="245">
        <v>2.0170383522232367</v>
      </c>
      <c r="J26" s="245">
        <v>0.93302247734048471</v>
      </c>
      <c r="K26" s="251">
        <v>0.42327095897399264</v>
      </c>
      <c r="L26" s="250">
        <v>2.7239356552713723</v>
      </c>
      <c r="M26" s="245">
        <v>3.3476342125372662</v>
      </c>
      <c r="N26" s="245">
        <v>5.6766490033416774</v>
      </c>
      <c r="O26" s="245">
        <v>5.6862749848474792</v>
      </c>
      <c r="P26" s="245">
        <v>4.7871975605812374</v>
      </c>
      <c r="Q26" s="269">
        <v>3.6144933931588006</v>
      </c>
      <c r="R26" s="286">
        <v>3.5961260808402278</v>
      </c>
      <c r="S26" s="286">
        <v>5.7290642727790537</v>
      </c>
      <c r="T26" s="286">
        <v>4.241938390300656</v>
      </c>
      <c r="U26" s="286">
        <v>5.071699302118148</v>
      </c>
    </row>
    <row r="27" spans="1:21" ht="14.1" customHeight="1" x14ac:dyDescent="0.3">
      <c r="A27" s="284" t="s">
        <v>301</v>
      </c>
      <c r="B27" s="286">
        <v>4.8598892509312721</v>
      </c>
      <c r="C27" s="286">
        <v>2.8143178952628092</v>
      </c>
      <c r="D27" s="286">
        <v>3.3507009783789328</v>
      </c>
      <c r="E27" s="286">
        <v>4.6537328199485408</v>
      </c>
      <c r="F27" s="286">
        <v>4.5113538750741773</v>
      </c>
      <c r="G27" s="273">
        <v>3.6809796936668921</v>
      </c>
      <c r="H27" s="245">
        <v>0.59531134944963893</v>
      </c>
      <c r="I27" s="245">
        <v>1.6786904937379161</v>
      </c>
      <c r="J27" s="245">
        <v>4.1077132007383108</v>
      </c>
      <c r="K27" s="251">
        <v>5.925776528999017</v>
      </c>
      <c r="L27" s="250">
        <v>3.5504461017495297</v>
      </c>
      <c r="M27" s="245">
        <v>2.4759015503320732</v>
      </c>
      <c r="N27" s="245">
        <v>4.0183600365874739</v>
      </c>
      <c r="O27" s="245">
        <v>4.5942468065375035</v>
      </c>
      <c r="P27" s="245">
        <v>3.6539277944712816</v>
      </c>
      <c r="Q27" s="269">
        <v>2.2279471680942486</v>
      </c>
      <c r="R27" s="286">
        <v>5.5641763728640496</v>
      </c>
      <c r="S27" s="286">
        <v>4.0731416501688811</v>
      </c>
      <c r="T27" s="286">
        <v>4.4839284282300804</v>
      </c>
      <c r="U27" s="286">
        <v>3.5296123172339668</v>
      </c>
    </row>
    <row r="28" spans="1:21" ht="14.1" customHeight="1" x14ac:dyDescent="0.3">
      <c r="A28" s="284" t="s">
        <v>302</v>
      </c>
      <c r="B28" s="286">
        <v>18.376730049549884</v>
      </c>
      <c r="C28" s="286">
        <v>20.651747404440375</v>
      </c>
      <c r="D28" s="286">
        <v>18.811485507673257</v>
      </c>
      <c r="E28" s="286">
        <v>16.236146638604019</v>
      </c>
      <c r="F28" s="286">
        <v>15.816637175362654</v>
      </c>
      <c r="G28" s="273">
        <v>6.0820322407406255</v>
      </c>
      <c r="H28" s="245">
        <v>11.578416030038447</v>
      </c>
      <c r="I28" s="245">
        <v>18.052504725540949</v>
      </c>
      <c r="J28" s="245">
        <v>4.1992942953135453</v>
      </c>
      <c r="K28" s="251">
        <v>3.652776402809546</v>
      </c>
      <c r="L28" s="250">
        <v>16.581975752474083</v>
      </c>
      <c r="M28" s="245">
        <v>16.81984315582238</v>
      </c>
      <c r="N28" s="245">
        <v>14.881766751924305</v>
      </c>
      <c r="O28" s="245">
        <v>15.49197258118433</v>
      </c>
      <c r="P28" s="245">
        <v>18.325938890502727</v>
      </c>
      <c r="Q28" s="269">
        <v>17.805790903717881</v>
      </c>
      <c r="R28" s="286">
        <v>18.830935518434465</v>
      </c>
      <c r="S28" s="286">
        <v>14.861050051680566</v>
      </c>
      <c r="T28" s="286">
        <v>17.855653779272995</v>
      </c>
      <c r="U28" s="286">
        <v>22.20202462489701</v>
      </c>
    </row>
    <row r="29" spans="1:21" ht="14.1" customHeight="1" x14ac:dyDescent="0.3">
      <c r="A29" s="284" t="s">
        <v>303</v>
      </c>
      <c r="B29" s="286">
        <v>1.9012726507621456</v>
      </c>
      <c r="C29" s="286">
        <v>5.152911181239709</v>
      </c>
      <c r="D29" s="286">
        <v>3.5281550777363564</v>
      </c>
      <c r="E29" s="286">
        <v>2.9693396980537252</v>
      </c>
      <c r="F29" s="286">
        <v>3.0883210875924338</v>
      </c>
      <c r="G29" s="273">
        <v>0.93475667307668675</v>
      </c>
      <c r="H29" s="245">
        <v>9.1498737507560772</v>
      </c>
      <c r="I29" s="245">
        <v>5.2141344636207787</v>
      </c>
      <c r="J29" s="245">
        <v>2.3180043013592293</v>
      </c>
      <c r="K29" s="251">
        <v>0.41776264357712251</v>
      </c>
      <c r="L29" s="250">
        <v>1.6251252679154418</v>
      </c>
      <c r="M29" s="245">
        <v>4.6533970513376666</v>
      </c>
      <c r="N29" s="245">
        <v>4.7486670630111485</v>
      </c>
      <c r="O29" s="245">
        <v>3.3874494977615832</v>
      </c>
      <c r="P29" s="245">
        <v>2.1547417861880511</v>
      </c>
      <c r="Q29" s="269">
        <v>2.9960662057345608</v>
      </c>
      <c r="R29" s="286">
        <v>3.6870437473755948</v>
      </c>
      <c r="S29" s="286">
        <v>3.6952194888870125</v>
      </c>
      <c r="T29" s="286">
        <v>4.0095701696514583</v>
      </c>
      <c r="U29" s="286">
        <v>3.3811219559001562</v>
      </c>
    </row>
    <row r="30" spans="1:21" ht="14.1" customHeight="1" x14ac:dyDescent="0.3">
      <c r="A30" s="284" t="s">
        <v>304</v>
      </c>
      <c r="B30" s="286">
        <v>0.63563931585986555</v>
      </c>
      <c r="C30" s="286">
        <v>1.0185645607635938</v>
      </c>
      <c r="D30" s="286">
        <v>1.6561036047624957</v>
      </c>
      <c r="E30" s="286">
        <v>1.8793394960426619</v>
      </c>
      <c r="F30" s="286">
        <v>1.5423805481340407</v>
      </c>
      <c r="G30" s="273">
        <v>1.7566908628179785</v>
      </c>
      <c r="H30" s="245">
        <v>0.1912292464272341</v>
      </c>
      <c r="I30" s="245">
        <v>0.24890334366656974</v>
      </c>
      <c r="J30" s="245">
        <v>0</v>
      </c>
      <c r="K30" s="251">
        <v>0.69498762364673372</v>
      </c>
      <c r="L30" s="250">
        <v>0.3156841568617037</v>
      </c>
      <c r="M30" s="245">
        <v>1.0840446047298984</v>
      </c>
      <c r="N30" s="245">
        <v>1.9704497976254773</v>
      </c>
      <c r="O30" s="245">
        <v>0.63916908249049642</v>
      </c>
      <c r="P30" s="245">
        <v>1.5475021026465008</v>
      </c>
      <c r="Q30" s="269">
        <v>0.68584778687323134</v>
      </c>
      <c r="R30" s="286">
        <v>2.4412489541938749</v>
      </c>
      <c r="S30" s="286">
        <v>2.0951372002926441</v>
      </c>
      <c r="T30" s="286">
        <v>0.96441740362748241</v>
      </c>
      <c r="U30" s="286">
        <v>1.326994155946164</v>
      </c>
    </row>
    <row r="31" spans="1:21" ht="14.1" customHeight="1" thickBot="1" x14ac:dyDescent="0.35">
      <c r="A31" s="284" t="s">
        <v>305</v>
      </c>
      <c r="B31" s="286">
        <v>1.3902136413194832</v>
      </c>
      <c r="C31" s="286">
        <v>1.814591200611422</v>
      </c>
      <c r="D31" s="286">
        <v>2.677359410168906</v>
      </c>
      <c r="E31" s="286">
        <v>2.8391237984214919</v>
      </c>
      <c r="F31" s="286">
        <v>2.9200487927457819</v>
      </c>
      <c r="G31" s="273">
        <v>0</v>
      </c>
      <c r="H31" s="245">
        <v>0.29768294504729054</v>
      </c>
      <c r="I31" s="245">
        <v>0.75889485746987995</v>
      </c>
      <c r="J31" s="245">
        <v>1.0775432018004989</v>
      </c>
      <c r="K31" s="251">
        <v>0.66397076879327876</v>
      </c>
      <c r="L31" s="250">
        <v>0.96555967309377189</v>
      </c>
      <c r="M31" s="245">
        <v>1.1073226992669221</v>
      </c>
      <c r="N31" s="245">
        <v>1.6656024986301716</v>
      </c>
      <c r="O31" s="245">
        <v>3.5584562056294566</v>
      </c>
      <c r="P31" s="245">
        <v>2.442191737852176</v>
      </c>
      <c r="Q31" s="269">
        <v>1.3642829616527388</v>
      </c>
      <c r="R31" s="286">
        <v>1.8546451158391721</v>
      </c>
      <c r="S31" s="286">
        <v>1.5112370284874388</v>
      </c>
      <c r="T31" s="286">
        <v>2.6683189615113045</v>
      </c>
      <c r="U31" s="286">
        <v>2.055365699195709</v>
      </c>
    </row>
    <row r="32" spans="1:21" ht="14.1" customHeight="1" thickBot="1" x14ac:dyDescent="0.35">
      <c r="A32" s="254" t="s">
        <v>120</v>
      </c>
      <c r="B32" s="255">
        <v>100</v>
      </c>
      <c r="C32" s="255">
        <v>100</v>
      </c>
      <c r="D32" s="255">
        <v>100</v>
      </c>
      <c r="E32" s="255">
        <v>100</v>
      </c>
      <c r="F32" s="255">
        <v>100</v>
      </c>
      <c r="G32" s="274">
        <v>100</v>
      </c>
      <c r="H32" s="255">
        <v>100</v>
      </c>
      <c r="I32" s="255">
        <v>100</v>
      </c>
      <c r="J32" s="255">
        <v>100</v>
      </c>
      <c r="K32" s="257">
        <v>100</v>
      </c>
      <c r="L32" s="256">
        <v>100</v>
      </c>
      <c r="M32" s="255">
        <v>100</v>
      </c>
      <c r="N32" s="255">
        <v>100</v>
      </c>
      <c r="O32" s="255">
        <v>100</v>
      </c>
      <c r="P32" s="255">
        <v>100</v>
      </c>
      <c r="Q32" s="270">
        <v>100</v>
      </c>
      <c r="R32" s="255">
        <v>100</v>
      </c>
      <c r="S32" s="255">
        <v>100</v>
      </c>
      <c r="T32" s="255">
        <v>100</v>
      </c>
      <c r="U32" s="255">
        <v>100</v>
      </c>
    </row>
    <row r="33" spans="1:21" ht="11.1" customHeight="1" thickTop="1" x14ac:dyDescent="0.3">
      <c r="A33" s="662" t="s">
        <v>220</v>
      </c>
      <c r="B33" s="662"/>
      <c r="C33" s="662"/>
      <c r="D33" s="662"/>
      <c r="E33" s="662"/>
      <c r="F33" s="662"/>
      <c r="G33" s="662"/>
      <c r="H33" s="662"/>
      <c r="I33" s="662"/>
      <c r="J33" s="662"/>
      <c r="K33" s="662"/>
      <c r="L33" s="662"/>
      <c r="M33" s="662"/>
      <c r="N33" s="662"/>
      <c r="O33" s="662"/>
      <c r="P33" s="662"/>
      <c r="Q33" s="662"/>
      <c r="R33" s="662"/>
      <c r="S33" s="662"/>
      <c r="T33" s="662"/>
      <c r="U33" s="662"/>
    </row>
  </sheetData>
  <mergeCells count="14">
    <mergeCell ref="A33:U33"/>
    <mergeCell ref="A16:U16"/>
    <mergeCell ref="A18:U18"/>
    <mergeCell ref="A19:A20"/>
    <mergeCell ref="B19:F19"/>
    <mergeCell ref="G19:K19"/>
    <mergeCell ref="L19:P19"/>
    <mergeCell ref="Q19:U19"/>
    <mergeCell ref="A1:U1"/>
    <mergeCell ref="A2:A3"/>
    <mergeCell ref="B2:F2"/>
    <mergeCell ref="G2:K2"/>
    <mergeCell ref="L2:P2"/>
    <mergeCell ref="Q2:U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zoomScale="110" zoomScaleNormal="110" workbookViewId="0">
      <selection sqref="A1:D1"/>
    </sheetView>
  </sheetViews>
  <sheetFormatPr baseColWidth="10" defaultRowHeight="14.4" x14ac:dyDescent="0.3"/>
  <cols>
    <col min="1" max="1" width="16.33203125" customWidth="1"/>
    <col min="2" max="4" width="17" customWidth="1"/>
  </cols>
  <sheetData>
    <row r="1" spans="1:21" ht="57" customHeight="1" thickBot="1" x14ac:dyDescent="0.35">
      <c r="A1" s="664" t="s">
        <v>394</v>
      </c>
      <c r="B1" s="664"/>
      <c r="C1" s="664"/>
      <c r="D1" s="664"/>
    </row>
    <row r="2" spans="1:21" ht="25.2" thickTop="1" thickBot="1" x14ac:dyDescent="0.35">
      <c r="A2" s="295"/>
      <c r="B2" s="296" t="s">
        <v>306</v>
      </c>
      <c r="C2" s="296" t="s">
        <v>307</v>
      </c>
      <c r="D2" s="296" t="s">
        <v>308</v>
      </c>
      <c r="E2" s="288"/>
    </row>
    <row r="3" spans="1:21" x14ac:dyDescent="0.3">
      <c r="A3" s="287">
        <v>1996</v>
      </c>
      <c r="B3" s="289">
        <v>28</v>
      </c>
      <c r="C3" s="289">
        <v>4.2</v>
      </c>
      <c r="D3" s="290">
        <v>3.68</v>
      </c>
    </row>
    <row r="4" spans="1:21" x14ac:dyDescent="0.3">
      <c r="A4" s="287">
        <v>2000</v>
      </c>
      <c r="B4" s="289">
        <v>27.3</v>
      </c>
      <c r="C4" s="289">
        <v>4.0999999999999996</v>
      </c>
      <c r="D4" s="290">
        <v>3.55</v>
      </c>
    </row>
    <row r="5" spans="1:21" x14ac:dyDescent="0.3">
      <c r="A5" s="287">
        <v>2004</v>
      </c>
      <c r="B5" s="289">
        <v>26</v>
      </c>
      <c r="C5" s="289">
        <v>3.9</v>
      </c>
      <c r="D5" s="290">
        <v>3.76</v>
      </c>
    </row>
    <row r="6" spans="1:21" x14ac:dyDescent="0.3">
      <c r="A6" s="287">
        <v>2008</v>
      </c>
      <c r="B6" s="289">
        <v>25.2</v>
      </c>
      <c r="C6" s="289">
        <v>3.6</v>
      </c>
      <c r="D6" s="290">
        <v>3.88</v>
      </c>
    </row>
    <row r="7" spans="1:21" x14ac:dyDescent="0.3">
      <c r="A7" s="287">
        <v>2012</v>
      </c>
      <c r="B7" s="289">
        <v>25.3</v>
      </c>
      <c r="C7" s="289">
        <v>3.7</v>
      </c>
      <c r="D7" s="290">
        <v>3.75</v>
      </c>
    </row>
    <row r="8" spans="1:21" x14ac:dyDescent="0.3">
      <c r="A8" s="297">
        <v>2014</v>
      </c>
      <c r="B8" s="298">
        <v>27.1</v>
      </c>
      <c r="C8" s="298">
        <v>4.2</v>
      </c>
      <c r="D8" s="299">
        <v>3.41</v>
      </c>
    </row>
    <row r="9" spans="1:21" x14ac:dyDescent="0.3">
      <c r="A9" s="297">
        <v>2016</v>
      </c>
      <c r="B9" s="298">
        <v>25.8</v>
      </c>
      <c r="C9" s="298">
        <v>3.9</v>
      </c>
      <c r="D9" s="299">
        <v>3.48</v>
      </c>
    </row>
    <row r="10" spans="1:21" ht="15" thickBot="1" x14ac:dyDescent="0.35">
      <c r="A10" s="291">
        <v>2018</v>
      </c>
      <c r="B10" s="292">
        <v>26.7</v>
      </c>
      <c r="C10" s="292">
        <v>4.0999999999999996</v>
      </c>
      <c r="D10" s="293">
        <v>3.35</v>
      </c>
    </row>
    <row r="11" spans="1:21" ht="15.75" customHeight="1" thickTop="1" x14ac:dyDescent="0.3">
      <c r="A11" s="665" t="s">
        <v>220</v>
      </c>
      <c r="B11" s="665"/>
      <c r="C11" s="665"/>
      <c r="D11" s="665"/>
      <c r="E11" s="546"/>
      <c r="F11" s="546"/>
      <c r="G11" s="546"/>
      <c r="H11" s="546"/>
      <c r="I11" s="546"/>
      <c r="J11" s="546"/>
      <c r="K11" s="546"/>
      <c r="L11" s="546"/>
      <c r="M11" s="546"/>
      <c r="N11" s="546"/>
      <c r="O11" s="546"/>
      <c r="P11" s="546"/>
      <c r="Q11" s="546"/>
      <c r="R11" s="546"/>
      <c r="S11" s="546"/>
      <c r="T11" s="546"/>
      <c r="U11" s="546"/>
    </row>
  </sheetData>
  <mergeCells count="2">
    <mergeCell ref="A1:D1"/>
    <mergeCell ref="A11:D11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zoomScale="110" zoomScaleNormal="110" workbookViewId="0">
      <selection sqref="A1:K1"/>
    </sheetView>
  </sheetViews>
  <sheetFormatPr baseColWidth="10" defaultRowHeight="14.4" x14ac:dyDescent="0.3"/>
  <cols>
    <col min="1" max="1" width="16.6640625" customWidth="1"/>
    <col min="2" max="5" width="9.33203125" customWidth="1"/>
    <col min="6" max="11" width="9.44140625" bestFit="1" customWidth="1"/>
  </cols>
  <sheetData>
    <row r="1" spans="1:21" ht="54" customHeight="1" thickBot="1" x14ac:dyDescent="0.35">
      <c r="A1" s="668" t="s">
        <v>382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</row>
    <row r="2" spans="1:21" ht="16.5" customHeight="1" thickTop="1" thickBot="1" x14ac:dyDescent="0.35">
      <c r="A2" s="669" t="s">
        <v>389</v>
      </c>
      <c r="B2" s="676" t="s">
        <v>309</v>
      </c>
      <c r="C2" s="676"/>
      <c r="D2" s="676"/>
      <c r="E2" s="676"/>
      <c r="F2" s="676"/>
      <c r="G2" s="676"/>
      <c r="H2" s="676"/>
      <c r="I2" s="676"/>
      <c r="J2" s="676"/>
      <c r="K2" s="304"/>
    </row>
    <row r="3" spans="1:21" x14ac:dyDescent="0.3">
      <c r="A3" s="670"/>
      <c r="B3" s="300" t="s">
        <v>61</v>
      </c>
      <c r="C3" s="300" t="s">
        <v>62</v>
      </c>
      <c r="D3" s="300" t="s">
        <v>63</v>
      </c>
      <c r="E3" s="300">
        <v>2016</v>
      </c>
      <c r="F3" s="300">
        <v>2018</v>
      </c>
      <c r="G3" s="672" t="s">
        <v>310</v>
      </c>
      <c r="H3" s="674" t="s">
        <v>311</v>
      </c>
      <c r="I3" s="674" t="s">
        <v>312</v>
      </c>
      <c r="J3" s="674" t="s">
        <v>159</v>
      </c>
      <c r="K3" s="666" t="s">
        <v>324</v>
      </c>
    </row>
    <row r="4" spans="1:21" x14ac:dyDescent="0.3">
      <c r="A4" s="671"/>
      <c r="B4" s="301" t="s">
        <v>313</v>
      </c>
      <c r="C4" s="301" t="s">
        <v>313</v>
      </c>
      <c r="D4" s="301" t="s">
        <v>313</v>
      </c>
      <c r="E4" s="301" t="s">
        <v>313</v>
      </c>
      <c r="F4" s="301" t="s">
        <v>313</v>
      </c>
      <c r="G4" s="673"/>
      <c r="H4" s="675"/>
      <c r="I4" s="675"/>
      <c r="J4" s="675"/>
      <c r="K4" s="667"/>
    </row>
    <row r="5" spans="1:21" x14ac:dyDescent="0.3">
      <c r="A5" s="287" t="s">
        <v>314</v>
      </c>
      <c r="B5" s="302">
        <v>575.50719559267111</v>
      </c>
      <c r="C5" s="302">
        <v>562.90078442491722</v>
      </c>
      <c r="D5" s="302">
        <v>498.18075731277412</v>
      </c>
      <c r="E5" s="302">
        <v>534.07323522312311</v>
      </c>
      <c r="F5" s="302">
        <v>541.17744897188231</v>
      </c>
      <c r="G5" s="442">
        <f t="shared" ref="G5:J15" si="0">((C5-B5)/B5)*100</f>
        <v>-2.1904871501687317</v>
      </c>
      <c r="H5" s="443">
        <f t="shared" si="0"/>
        <v>-11.497590499587554</v>
      </c>
      <c r="I5" s="443">
        <f t="shared" si="0"/>
        <v>7.2047098133528511</v>
      </c>
      <c r="J5" s="443">
        <f t="shared" si="0"/>
        <v>1.3301946774755031</v>
      </c>
      <c r="K5" s="444">
        <f>((F5-B5)/B5)*100</f>
        <v>-5.9651289998963781</v>
      </c>
    </row>
    <row r="6" spans="1:21" x14ac:dyDescent="0.3">
      <c r="A6" s="287" t="s">
        <v>315</v>
      </c>
      <c r="B6" s="302">
        <v>820.21190256801344</v>
      </c>
      <c r="C6" s="302">
        <v>816.43857266569637</v>
      </c>
      <c r="D6" s="302">
        <v>752.632847217826</v>
      </c>
      <c r="E6" s="302">
        <v>826.01464373178283</v>
      </c>
      <c r="F6" s="302">
        <v>839.27698917742339</v>
      </c>
      <c r="G6" s="442">
        <f t="shared" si="0"/>
        <v>-0.46004329984764902</v>
      </c>
      <c r="H6" s="443">
        <f t="shared" si="0"/>
        <v>-7.8151287291023959</v>
      </c>
      <c r="I6" s="443">
        <f t="shared" si="0"/>
        <v>9.7500124775604924</v>
      </c>
      <c r="J6" s="443">
        <f t="shared" si="0"/>
        <v>1.6055823642210161</v>
      </c>
      <c r="K6" s="444">
        <f>((F6-B6)/B6)*100</f>
        <v>2.3244098933115684</v>
      </c>
    </row>
    <row r="7" spans="1:21" x14ac:dyDescent="0.3">
      <c r="A7" s="287" t="s">
        <v>316</v>
      </c>
      <c r="B7" s="302">
        <v>973.43303793761595</v>
      </c>
      <c r="C7" s="302">
        <v>979.34732295869003</v>
      </c>
      <c r="D7" s="302">
        <v>929.90944907241919</v>
      </c>
      <c r="E7" s="302">
        <v>1022.3471371077409</v>
      </c>
      <c r="F7" s="302">
        <v>1041.1689970985767</v>
      </c>
      <c r="G7" s="442">
        <f t="shared" si="0"/>
        <v>0.60756978555037555</v>
      </c>
      <c r="H7" s="443">
        <f t="shared" si="0"/>
        <v>-5.0480429901942134</v>
      </c>
      <c r="I7" s="443">
        <f t="shared" si="0"/>
        <v>9.940504220870956</v>
      </c>
      <c r="J7" s="443">
        <f t="shared" si="0"/>
        <v>1.8410439377845371</v>
      </c>
      <c r="K7" s="444">
        <f t="shared" ref="K7:K15" si="1">((F7-B7)/B7)*100</f>
        <v>6.9584610878290043</v>
      </c>
    </row>
    <row r="8" spans="1:21" x14ac:dyDescent="0.3">
      <c r="A8" s="287" t="s">
        <v>317</v>
      </c>
      <c r="B8" s="302">
        <v>1137.1154420959999</v>
      </c>
      <c r="C8" s="302">
        <v>1146.8829643543882</v>
      </c>
      <c r="D8" s="302">
        <v>1107.170814580674</v>
      </c>
      <c r="E8" s="302">
        <v>1181.3112122642076</v>
      </c>
      <c r="F8" s="302">
        <v>1230.5425347330827</v>
      </c>
      <c r="G8" s="442">
        <f t="shared" si="0"/>
        <v>0.85897367116782253</v>
      </c>
      <c r="H8" s="443">
        <f t="shared" si="0"/>
        <v>-3.4626157165102893</v>
      </c>
      <c r="I8" s="443">
        <f t="shared" si="0"/>
        <v>6.6963829525811036</v>
      </c>
      <c r="J8" s="443">
        <f t="shared" si="0"/>
        <v>4.1675150424174756</v>
      </c>
      <c r="K8" s="444">
        <f t="shared" si="1"/>
        <v>8.2161484382687036</v>
      </c>
    </row>
    <row r="9" spans="1:21" x14ac:dyDescent="0.3">
      <c r="A9" s="287" t="s">
        <v>318</v>
      </c>
      <c r="B9" s="302">
        <v>1288.5904399279311</v>
      </c>
      <c r="C9" s="302">
        <v>1304.1019736972987</v>
      </c>
      <c r="D9" s="302">
        <v>1275.7262850589354</v>
      </c>
      <c r="E9" s="302">
        <v>1345.286126029629</v>
      </c>
      <c r="F9" s="302">
        <v>1407.3214963641635</v>
      </c>
      <c r="G9" s="442">
        <f t="shared" si="0"/>
        <v>1.2037598051895468</v>
      </c>
      <c r="H9" s="443">
        <f t="shared" si="0"/>
        <v>-2.1758795869248249</v>
      </c>
      <c r="I9" s="443">
        <f t="shared" si="0"/>
        <v>5.4525678262935608</v>
      </c>
      <c r="J9" s="443">
        <f t="shared" si="0"/>
        <v>4.6113142129563744</v>
      </c>
      <c r="K9" s="444">
        <f t="shared" si="1"/>
        <v>9.2140258655708198</v>
      </c>
    </row>
    <row r="10" spans="1:21" x14ac:dyDescent="0.3">
      <c r="A10" s="287" t="s">
        <v>319</v>
      </c>
      <c r="B10" s="302">
        <v>1438.3355964654013</v>
      </c>
      <c r="C10" s="302">
        <v>1473.6758884074204</v>
      </c>
      <c r="D10" s="302">
        <v>1441.1607210611082</v>
      </c>
      <c r="E10" s="302">
        <v>1517.9251012755833</v>
      </c>
      <c r="F10" s="302">
        <v>1584.1341405002047</v>
      </c>
      <c r="G10" s="442">
        <f t="shared" si="0"/>
        <v>2.4570268599946465</v>
      </c>
      <c r="H10" s="443">
        <f t="shared" si="0"/>
        <v>-2.2063988155123333</v>
      </c>
      <c r="I10" s="443">
        <f t="shared" si="0"/>
        <v>5.3265662248936705</v>
      </c>
      <c r="J10" s="443">
        <f t="shared" si="0"/>
        <v>4.3618120004065313</v>
      </c>
      <c r="K10" s="444">
        <f t="shared" si="1"/>
        <v>10.136615153868963</v>
      </c>
    </row>
    <row r="11" spans="1:21" x14ac:dyDescent="0.3">
      <c r="A11" s="287" t="s">
        <v>320</v>
      </c>
      <c r="B11" s="302">
        <v>1607.5734266684296</v>
      </c>
      <c r="C11" s="302">
        <v>1649.9461006176205</v>
      </c>
      <c r="D11" s="302">
        <v>1630.5612741113168</v>
      </c>
      <c r="E11" s="302">
        <v>1703.5619283365922</v>
      </c>
      <c r="F11" s="302">
        <v>1768.2009112508147</v>
      </c>
      <c r="G11" s="442">
        <f t="shared" si="0"/>
        <v>2.6358157734048184</v>
      </c>
      <c r="H11" s="443">
        <f t="shared" si="0"/>
        <v>-1.1748763489332985</v>
      </c>
      <c r="I11" s="443">
        <f t="shared" si="0"/>
        <v>4.477026124949643</v>
      </c>
      <c r="J11" s="443">
        <f t="shared" si="0"/>
        <v>3.7943430079667149</v>
      </c>
      <c r="K11" s="444">
        <f t="shared" si="1"/>
        <v>9.991922105559615</v>
      </c>
    </row>
    <row r="12" spans="1:21" x14ac:dyDescent="0.3">
      <c r="A12" s="287" t="s">
        <v>321</v>
      </c>
      <c r="B12" s="302">
        <v>1812.6084010445293</v>
      </c>
      <c r="C12" s="302">
        <v>1881.0125613368423</v>
      </c>
      <c r="D12" s="302">
        <v>1856.6430632645436</v>
      </c>
      <c r="E12" s="302">
        <v>1897.785189264684</v>
      </c>
      <c r="F12" s="302">
        <v>2026.6198619102768</v>
      </c>
      <c r="G12" s="442">
        <f t="shared" si="0"/>
        <v>3.773796935559528</v>
      </c>
      <c r="H12" s="443">
        <f t="shared" si="0"/>
        <v>-1.2955521176838511</v>
      </c>
      <c r="I12" s="443">
        <f t="shared" si="0"/>
        <v>2.2159415998786591</v>
      </c>
      <c r="J12" s="443">
        <f t="shared" si="0"/>
        <v>6.7886857466471744</v>
      </c>
      <c r="K12" s="444">
        <f t="shared" si="1"/>
        <v>11.806822739121245</v>
      </c>
    </row>
    <row r="13" spans="1:21" x14ac:dyDescent="0.3">
      <c r="A13" s="287" t="s">
        <v>322</v>
      </c>
      <c r="B13" s="302">
        <v>2094.4309175968942</v>
      </c>
      <c r="C13" s="302">
        <v>2190.182644219376</v>
      </c>
      <c r="D13" s="302">
        <v>2186.4577009857844</v>
      </c>
      <c r="E13" s="302">
        <v>2214.6180555502201</v>
      </c>
      <c r="F13" s="302">
        <v>2348.3511817325275</v>
      </c>
      <c r="G13" s="442">
        <f t="shared" si="0"/>
        <v>4.5717300015961042</v>
      </c>
      <c r="H13" s="443">
        <f t="shared" si="0"/>
        <v>-0.17007454804844577</v>
      </c>
      <c r="I13" s="443">
        <f t="shared" si="0"/>
        <v>1.2879441734335559</v>
      </c>
      <c r="J13" s="443">
        <f t="shared" si="0"/>
        <v>6.0386541980522912</v>
      </c>
      <c r="K13" s="444">
        <f t="shared" si="1"/>
        <v>12.123592237025225</v>
      </c>
    </row>
    <row r="14" spans="1:21" x14ac:dyDescent="0.3">
      <c r="A14" s="287" t="s">
        <v>323</v>
      </c>
      <c r="B14" s="302">
        <v>3000.8858807120364</v>
      </c>
      <c r="C14" s="302">
        <v>2942.5809347861391</v>
      </c>
      <c r="D14" s="302">
        <v>3031.8844025001376</v>
      </c>
      <c r="E14" s="302">
        <v>3098.3332243918971</v>
      </c>
      <c r="F14" s="302">
        <v>3315.1553521143264</v>
      </c>
      <c r="G14" s="442">
        <f t="shared" si="0"/>
        <v>-1.9429244644272501</v>
      </c>
      <c r="H14" s="443">
        <f t="shared" si="0"/>
        <v>3.034868698369003</v>
      </c>
      <c r="I14" s="443">
        <f t="shared" si="0"/>
        <v>2.1916673946066281</v>
      </c>
      <c r="J14" s="443">
        <f t="shared" si="0"/>
        <v>6.9980248094516844</v>
      </c>
      <c r="K14" s="444">
        <f t="shared" si="1"/>
        <v>10.472556568119867</v>
      </c>
    </row>
    <row r="15" spans="1:21" ht="15" thickBot="1" x14ac:dyDescent="0.35">
      <c r="A15" s="441" t="s">
        <v>120</v>
      </c>
      <c r="B15" s="303">
        <v>1474.9462957491053</v>
      </c>
      <c r="C15" s="303">
        <v>1494.9165251495026</v>
      </c>
      <c r="D15" s="303">
        <v>1470.6723044877888</v>
      </c>
      <c r="E15" s="303">
        <v>1534.3324394907988</v>
      </c>
      <c r="F15" s="303">
        <v>1610.9990013494214</v>
      </c>
      <c r="G15" s="445">
        <f t="shared" si="0"/>
        <v>1.3539631549943805</v>
      </c>
      <c r="H15" s="446">
        <f t="shared" si="0"/>
        <v>-1.6217775543881441</v>
      </c>
      <c r="I15" s="446">
        <f t="shared" si="0"/>
        <v>4.3286417245194428</v>
      </c>
      <c r="J15" s="446">
        <f t="shared" si="0"/>
        <v>4.9967373357540437</v>
      </c>
      <c r="K15" s="447">
        <f t="shared" si="1"/>
        <v>9.2242480958411317</v>
      </c>
    </row>
    <row r="16" spans="1:21" ht="15" thickTop="1" x14ac:dyDescent="0.3">
      <c r="A16" s="662" t="s">
        <v>220</v>
      </c>
      <c r="B16" s="662"/>
      <c r="C16" s="662"/>
      <c r="D16" s="662"/>
      <c r="E16" s="662"/>
      <c r="F16" s="662"/>
      <c r="G16" s="662"/>
      <c r="H16" s="662"/>
      <c r="I16" s="662"/>
      <c r="J16" s="662"/>
      <c r="K16" s="662"/>
      <c r="L16" s="662"/>
      <c r="M16" s="662"/>
      <c r="N16" s="662"/>
      <c r="O16" s="662"/>
      <c r="P16" s="662"/>
      <c r="Q16" s="662"/>
      <c r="R16" s="662"/>
      <c r="S16" s="662"/>
      <c r="T16" s="662"/>
      <c r="U16" s="662"/>
    </row>
  </sheetData>
  <mergeCells count="9">
    <mergeCell ref="A16:U16"/>
    <mergeCell ref="K3:K4"/>
    <mergeCell ref="A1:K1"/>
    <mergeCell ref="A2:A4"/>
    <mergeCell ref="G3:G4"/>
    <mergeCell ref="H3:H4"/>
    <mergeCell ref="I3:I4"/>
    <mergeCell ref="J3:J4"/>
    <mergeCell ref="B2:J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90" zoomScaleNormal="90" workbookViewId="0">
      <selection sqref="A1:K1"/>
    </sheetView>
  </sheetViews>
  <sheetFormatPr baseColWidth="10" defaultColWidth="9.109375" defaultRowHeight="14.4" x14ac:dyDescent="0.3"/>
  <cols>
    <col min="1" max="1" width="46.21875" customWidth="1"/>
    <col min="2" max="11" width="9.6640625" customWidth="1"/>
    <col min="12" max="12" width="9.5546875" customWidth="1"/>
  </cols>
  <sheetData>
    <row r="1" spans="1:12" ht="57" customHeight="1" thickBot="1" x14ac:dyDescent="0.35">
      <c r="A1" s="679" t="s">
        <v>392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314"/>
    </row>
    <row r="2" spans="1:12" ht="12.9" customHeight="1" thickTop="1" x14ac:dyDescent="0.3">
      <c r="A2" s="313"/>
      <c r="B2" s="681" t="s">
        <v>64</v>
      </c>
      <c r="C2" s="682"/>
      <c r="D2" s="682"/>
      <c r="E2" s="682"/>
      <c r="F2" s="682"/>
      <c r="G2" s="683" t="s">
        <v>65</v>
      </c>
      <c r="H2" s="684"/>
      <c r="I2" s="684"/>
      <c r="J2" s="684"/>
      <c r="K2" s="684"/>
    </row>
    <row r="3" spans="1:12" ht="40.5" customHeight="1" x14ac:dyDescent="0.3">
      <c r="A3" s="313"/>
      <c r="B3" s="305" t="s">
        <v>163</v>
      </c>
      <c r="C3" s="305" t="s">
        <v>325</v>
      </c>
      <c r="D3" s="305" t="s">
        <v>326</v>
      </c>
      <c r="E3" s="305" t="s">
        <v>196</v>
      </c>
      <c r="F3" s="305" t="s">
        <v>120</v>
      </c>
      <c r="G3" s="309" t="s">
        <v>163</v>
      </c>
      <c r="H3" s="310" t="s">
        <v>325</v>
      </c>
      <c r="I3" s="310" t="s">
        <v>326</v>
      </c>
      <c r="J3" s="310" t="s">
        <v>196</v>
      </c>
      <c r="K3" s="310" t="s">
        <v>120</v>
      </c>
    </row>
    <row r="4" spans="1:12" ht="12.9" customHeight="1" thickBot="1" x14ac:dyDescent="0.35">
      <c r="A4" s="322" t="s">
        <v>56</v>
      </c>
      <c r="B4" s="306" t="s">
        <v>327</v>
      </c>
      <c r="C4" s="306" t="s">
        <v>327</v>
      </c>
      <c r="D4" s="306" t="s">
        <v>327</v>
      </c>
      <c r="E4" s="306" t="s">
        <v>327</v>
      </c>
      <c r="F4" s="306" t="s">
        <v>327</v>
      </c>
      <c r="G4" s="311" t="s">
        <v>327</v>
      </c>
      <c r="H4" s="312" t="s">
        <v>327</v>
      </c>
      <c r="I4" s="312" t="s">
        <v>327</v>
      </c>
      <c r="J4" s="312" t="s">
        <v>327</v>
      </c>
      <c r="K4" s="312" t="s">
        <v>327</v>
      </c>
    </row>
    <row r="5" spans="1:12" ht="18" customHeight="1" thickTop="1" x14ac:dyDescent="0.3">
      <c r="A5" s="307" t="s">
        <v>328</v>
      </c>
      <c r="B5" s="315">
        <v>17.408520958504042</v>
      </c>
      <c r="C5" s="315">
        <v>3.2901358055457477</v>
      </c>
      <c r="D5" s="315">
        <v>2.822870782423506</v>
      </c>
      <c r="E5" s="315">
        <v>1.0632498697532668E-2</v>
      </c>
      <c r="F5" s="315">
        <v>2.3323322185127742</v>
      </c>
      <c r="G5" s="316">
        <v>12.488378721682977</v>
      </c>
      <c r="H5" s="315">
        <v>6.4785915528182167</v>
      </c>
      <c r="I5" s="315">
        <v>0.41158888844469216</v>
      </c>
      <c r="J5" s="315">
        <v>0</v>
      </c>
      <c r="K5" s="315">
        <v>1.9276115526164637</v>
      </c>
    </row>
    <row r="6" spans="1:12" ht="18" customHeight="1" x14ac:dyDescent="0.3">
      <c r="A6" s="308" t="s">
        <v>329</v>
      </c>
      <c r="B6" s="317">
        <v>10.723483577219204</v>
      </c>
      <c r="C6" s="317">
        <v>1.9381214004270237</v>
      </c>
      <c r="D6" s="317">
        <v>0</v>
      </c>
      <c r="E6" s="317">
        <v>0.38521658287378596</v>
      </c>
      <c r="F6" s="317">
        <v>1.4810943105248433</v>
      </c>
      <c r="G6" s="318">
        <v>6.5516925693966996</v>
      </c>
      <c r="H6" s="317">
        <v>2.9862901411411795</v>
      </c>
      <c r="I6" s="317">
        <v>0.41158888844469227</v>
      </c>
      <c r="J6" s="317">
        <v>0</v>
      </c>
      <c r="K6" s="317">
        <v>1.0002114545938869</v>
      </c>
    </row>
    <row r="7" spans="1:12" ht="18" customHeight="1" x14ac:dyDescent="0.3">
      <c r="A7" s="308" t="s">
        <v>330</v>
      </c>
      <c r="B7" s="317">
        <v>12.786239518486703</v>
      </c>
      <c r="C7" s="317">
        <v>0</v>
      </c>
      <c r="D7" s="317">
        <v>0</v>
      </c>
      <c r="E7" s="317">
        <v>0.38521658287378596</v>
      </c>
      <c r="F7" s="317">
        <v>1.5827763329689695</v>
      </c>
      <c r="G7" s="318">
        <v>23.128468418699207</v>
      </c>
      <c r="H7" s="317">
        <v>11.508136439984808</v>
      </c>
      <c r="I7" s="317">
        <v>3.2655804385543794</v>
      </c>
      <c r="J7" s="317">
        <v>0.12985305099859132</v>
      </c>
      <c r="K7" s="317">
        <v>3.9560183728680851</v>
      </c>
    </row>
    <row r="8" spans="1:12" ht="18" customHeight="1" x14ac:dyDescent="0.3">
      <c r="A8" s="323" t="s">
        <v>331</v>
      </c>
      <c r="B8" s="324">
        <v>25.483833290239883</v>
      </c>
      <c r="C8" s="324">
        <v>5.2282572059727714</v>
      </c>
      <c r="D8" s="324">
        <v>2.822870782423506</v>
      </c>
      <c r="E8" s="324">
        <v>0.39584908157131854</v>
      </c>
      <c r="F8" s="324">
        <v>3.5425984135800448</v>
      </c>
      <c r="G8" s="325">
        <v>32.208263300964475</v>
      </c>
      <c r="H8" s="324">
        <v>17.000126798120501</v>
      </c>
      <c r="I8" s="324">
        <v>3.677169326999072</v>
      </c>
      <c r="J8" s="324">
        <v>0.12985305099859132</v>
      </c>
      <c r="K8" s="324">
        <v>5.444927647766602</v>
      </c>
    </row>
    <row r="9" spans="1:12" ht="18" customHeight="1" x14ac:dyDescent="0.3">
      <c r="A9" s="308" t="s">
        <v>332</v>
      </c>
      <c r="B9" s="317">
        <v>40.050816737654507</v>
      </c>
      <c r="C9" s="317">
        <v>19.86347684917563</v>
      </c>
      <c r="D9" s="317">
        <v>0.27964001583536652</v>
      </c>
      <c r="E9" s="317">
        <v>0.38521658287378596</v>
      </c>
      <c r="F9" s="317">
        <v>5.5266196006904078</v>
      </c>
      <c r="G9" s="318">
        <v>44.293189926716529</v>
      </c>
      <c r="H9" s="317">
        <v>36.421823381838507</v>
      </c>
      <c r="I9" s="317">
        <v>5.4063766333615604</v>
      </c>
      <c r="J9" s="317">
        <v>0.12985305099859132</v>
      </c>
      <c r="K9" s="317">
        <v>8.7042584386366695</v>
      </c>
    </row>
    <row r="10" spans="1:12" ht="18" customHeight="1" x14ac:dyDescent="0.3">
      <c r="A10" s="308" t="s">
        <v>333</v>
      </c>
      <c r="B10" s="317">
        <v>25.297250255667137</v>
      </c>
      <c r="C10" s="317">
        <v>9.1978944022467939</v>
      </c>
      <c r="D10" s="317">
        <v>5.0343028080299073</v>
      </c>
      <c r="E10" s="317">
        <v>0</v>
      </c>
      <c r="F10" s="317">
        <v>3.7457453974245749</v>
      </c>
      <c r="G10" s="318">
        <v>24.387044113877906</v>
      </c>
      <c r="H10" s="317">
        <v>28.688899540469503</v>
      </c>
      <c r="I10" s="317">
        <v>2.4281471791922473</v>
      </c>
      <c r="J10" s="317">
        <v>0.12985305099859132</v>
      </c>
      <c r="K10" s="317">
        <v>5.5509814211874362</v>
      </c>
    </row>
    <row r="11" spans="1:12" ht="18" customHeight="1" x14ac:dyDescent="0.3">
      <c r="A11" s="308" t="s">
        <v>334</v>
      </c>
      <c r="B11" s="317">
        <v>38.169379389232475</v>
      </c>
      <c r="C11" s="317">
        <v>13.863513796982692</v>
      </c>
      <c r="D11" s="317">
        <v>3.9539463996103188</v>
      </c>
      <c r="E11" s="317">
        <v>0.53665242996494589</v>
      </c>
      <c r="F11" s="317">
        <v>5.5711790247044162</v>
      </c>
      <c r="G11" s="318">
        <v>39.053893622512689</v>
      </c>
      <c r="H11" s="317">
        <v>30.64772261845259</v>
      </c>
      <c r="I11" s="317">
        <v>2.7295102029512264</v>
      </c>
      <c r="J11" s="317">
        <v>0.49304240189346094</v>
      </c>
      <c r="K11" s="317">
        <v>7.5123599229700817</v>
      </c>
    </row>
    <row r="12" spans="1:12" ht="18" customHeight="1" thickBot="1" x14ac:dyDescent="0.35">
      <c r="A12" s="326" t="s">
        <v>335</v>
      </c>
      <c r="B12" s="327">
        <v>38.598619540663293</v>
      </c>
      <c r="C12" s="327">
        <v>20.502107577404129</v>
      </c>
      <c r="D12" s="327">
        <v>5.1987615377177203</v>
      </c>
      <c r="E12" s="327">
        <v>0.14080334839362746</v>
      </c>
      <c r="F12" s="327">
        <v>5.8649040664318832</v>
      </c>
      <c r="G12" s="328">
        <v>31.593458763637365</v>
      </c>
      <c r="H12" s="327">
        <v>27.558192758868159</v>
      </c>
      <c r="I12" s="327">
        <v>2.3971040445405971</v>
      </c>
      <c r="J12" s="327">
        <v>0.3631893508948697</v>
      </c>
      <c r="K12" s="327">
        <v>6.3340156736283131</v>
      </c>
    </row>
    <row r="13" spans="1:12" ht="18" customHeight="1" thickBot="1" x14ac:dyDescent="0.35">
      <c r="A13" s="319" t="s">
        <v>336</v>
      </c>
      <c r="B13" s="320">
        <v>64.082452830903208</v>
      </c>
      <c r="C13" s="320">
        <v>25.730364783376896</v>
      </c>
      <c r="D13" s="320">
        <v>8.0216323201412276</v>
      </c>
      <c r="E13" s="320">
        <v>0.536652429964946</v>
      </c>
      <c r="F13" s="320">
        <v>9.4075024800119369</v>
      </c>
      <c r="G13" s="321">
        <v>63.801722064601805</v>
      </c>
      <c r="H13" s="320">
        <v>44.55831955698865</v>
      </c>
      <c r="I13" s="320">
        <v>6.0742733715396691</v>
      </c>
      <c r="J13" s="320">
        <v>0.49304240189346094</v>
      </c>
      <c r="K13" s="320">
        <v>11.778943321394905</v>
      </c>
    </row>
    <row r="14" spans="1:12" ht="11.1" customHeight="1" thickTop="1" x14ac:dyDescent="0.3">
      <c r="A14" s="677" t="s">
        <v>337</v>
      </c>
      <c r="B14" s="678"/>
      <c r="C14" s="678"/>
      <c r="D14" s="678"/>
      <c r="E14" s="678"/>
      <c r="F14" s="678"/>
      <c r="G14" s="678"/>
      <c r="H14" s="678"/>
      <c r="I14" s="678"/>
      <c r="J14" s="678"/>
      <c r="K14" s="678"/>
      <c r="L14" s="678"/>
    </row>
  </sheetData>
  <mergeCells count="4">
    <mergeCell ref="A14:L14"/>
    <mergeCell ref="A1:K1"/>
    <mergeCell ref="B2:F2"/>
    <mergeCell ref="G2:K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opLeftCell="A2" zoomScale="80" zoomScaleNormal="80" workbookViewId="0">
      <selection sqref="A1:N1"/>
    </sheetView>
  </sheetViews>
  <sheetFormatPr baseColWidth="10" defaultRowHeight="14.4" x14ac:dyDescent="0.3"/>
  <cols>
    <col min="1" max="1" width="12.44140625" customWidth="1"/>
  </cols>
  <sheetData>
    <row r="1" spans="1:14" ht="38.25" customHeight="1" thickBot="1" x14ac:dyDescent="0.35">
      <c r="A1" s="689" t="s">
        <v>373</v>
      </c>
      <c r="B1" s="689"/>
      <c r="C1" s="689"/>
      <c r="D1" s="689"/>
      <c r="E1" s="689"/>
      <c r="F1" s="689"/>
      <c r="G1" s="689"/>
      <c r="H1" s="689"/>
      <c r="I1" s="689"/>
      <c r="J1" s="689"/>
      <c r="K1" s="689"/>
      <c r="L1" s="689"/>
      <c r="M1" s="689"/>
      <c r="N1" s="689"/>
    </row>
    <row r="2" spans="1:14" ht="58.2" thickTop="1" thickBot="1" x14ac:dyDescent="0.35">
      <c r="A2" s="349"/>
      <c r="B2" s="685" t="s">
        <v>375</v>
      </c>
      <c r="C2" s="686"/>
      <c r="D2" s="687" t="s">
        <v>376</v>
      </c>
      <c r="E2" s="688"/>
      <c r="F2" s="350" t="s">
        <v>369</v>
      </c>
      <c r="G2" s="351" t="s">
        <v>338</v>
      </c>
      <c r="H2" s="352" t="s">
        <v>339</v>
      </c>
      <c r="I2" s="351" t="s">
        <v>370</v>
      </c>
      <c r="J2" s="351" t="s">
        <v>340</v>
      </c>
      <c r="K2" s="352" t="s">
        <v>341</v>
      </c>
      <c r="L2" s="350" t="s">
        <v>368</v>
      </c>
      <c r="M2" s="351" t="s">
        <v>342</v>
      </c>
      <c r="N2" s="352" t="s">
        <v>343</v>
      </c>
    </row>
    <row r="3" spans="1:14" ht="15" thickBot="1" x14ac:dyDescent="0.35">
      <c r="A3" s="353" t="s">
        <v>377</v>
      </c>
      <c r="B3" s="354">
        <v>0.4</v>
      </c>
      <c r="C3" s="354">
        <v>0.6</v>
      </c>
      <c r="D3" s="355">
        <v>0.4</v>
      </c>
      <c r="E3" s="354">
        <v>0.6</v>
      </c>
      <c r="F3" s="356"/>
      <c r="G3" s="357"/>
      <c r="H3" s="358"/>
      <c r="I3" s="357"/>
      <c r="J3" s="357"/>
      <c r="K3" s="358"/>
      <c r="L3" s="356"/>
      <c r="M3" s="357"/>
      <c r="N3" s="358"/>
    </row>
    <row r="4" spans="1:14" ht="15.6" thickTop="1" thickBot="1" x14ac:dyDescent="0.35">
      <c r="A4" s="359" t="s">
        <v>344</v>
      </c>
      <c r="B4" s="360">
        <v>5.0999999999999996</v>
      </c>
      <c r="C4" s="360">
        <v>17.7</v>
      </c>
      <c r="D4" s="361">
        <v>5.0999999999999996</v>
      </c>
      <c r="E4" s="360">
        <v>17.7</v>
      </c>
      <c r="F4" s="362">
        <v>20.7</v>
      </c>
      <c r="G4" s="363">
        <v>2.2999999999999998</v>
      </c>
      <c r="H4" s="364">
        <v>6.5</v>
      </c>
      <c r="I4" s="363">
        <v>9.3000000000000007</v>
      </c>
      <c r="J4" s="363">
        <v>20.100000000000001</v>
      </c>
      <c r="K4" s="364">
        <v>23.1</v>
      </c>
      <c r="L4" s="365">
        <v>26.7</v>
      </c>
      <c r="M4" s="363">
        <v>4.0999999999999996</v>
      </c>
      <c r="N4" s="364">
        <v>3.4</v>
      </c>
    </row>
    <row r="5" spans="1:14" ht="15" thickTop="1" x14ac:dyDescent="0.3">
      <c r="A5" s="366" t="s">
        <v>345</v>
      </c>
      <c r="B5" s="335" t="s">
        <v>346</v>
      </c>
      <c r="C5" s="335" t="s">
        <v>346</v>
      </c>
      <c r="D5" s="336">
        <v>6</v>
      </c>
      <c r="E5" s="335">
        <v>16.899999999999999</v>
      </c>
      <c r="F5" s="336">
        <v>22.4</v>
      </c>
      <c r="G5" s="337">
        <v>7.9</v>
      </c>
      <c r="H5" s="335">
        <v>9.1</v>
      </c>
      <c r="I5" s="337">
        <v>7.8</v>
      </c>
      <c r="J5" s="337">
        <v>30</v>
      </c>
      <c r="K5" s="339">
        <v>33.799999999999997</v>
      </c>
      <c r="L5" s="340">
        <v>30.7</v>
      </c>
      <c r="M5" s="338">
        <v>5.0999999999999996</v>
      </c>
      <c r="N5" s="339">
        <v>2.8</v>
      </c>
    </row>
    <row r="6" spans="1:14" ht="15" thickBot="1" x14ac:dyDescent="0.35">
      <c r="A6" s="368" t="s">
        <v>383</v>
      </c>
      <c r="B6" s="339" t="s">
        <v>346</v>
      </c>
      <c r="C6" s="339" t="s">
        <v>346</v>
      </c>
      <c r="D6" s="367">
        <v>6</v>
      </c>
      <c r="E6" s="339">
        <v>17</v>
      </c>
      <c r="F6" s="336">
        <v>22.1</v>
      </c>
      <c r="G6" s="337">
        <v>7.4</v>
      </c>
      <c r="H6" s="335">
        <v>8.3000000000000007</v>
      </c>
      <c r="I6" s="337">
        <v>7.8</v>
      </c>
      <c r="J6" s="337">
        <v>27.9</v>
      </c>
      <c r="K6" s="339">
        <v>32.700000000000003</v>
      </c>
      <c r="L6" s="340">
        <v>30.4</v>
      </c>
      <c r="M6" s="338">
        <v>5</v>
      </c>
      <c r="N6" s="339">
        <v>2.8</v>
      </c>
    </row>
    <row r="7" spans="1:14" x14ac:dyDescent="0.3">
      <c r="A7" s="448" t="s">
        <v>347</v>
      </c>
      <c r="B7" s="329">
        <v>13.6</v>
      </c>
      <c r="C7" s="329">
        <v>33.9</v>
      </c>
      <c r="D7" s="330">
        <v>5.8</v>
      </c>
      <c r="E7" s="329">
        <v>18.7</v>
      </c>
      <c r="F7" s="330">
        <v>21.5</v>
      </c>
      <c r="G7" s="331">
        <v>2.2000000000000002</v>
      </c>
      <c r="H7" s="329">
        <v>3</v>
      </c>
      <c r="I7" s="331">
        <v>1.9</v>
      </c>
      <c r="J7" s="331">
        <v>10.9</v>
      </c>
      <c r="K7" s="332">
        <v>20.399999999999999</v>
      </c>
      <c r="L7" s="333">
        <v>30.9</v>
      </c>
      <c r="M7" s="334">
        <v>5</v>
      </c>
      <c r="N7" s="332">
        <v>2.9</v>
      </c>
    </row>
    <row r="8" spans="1:14" x14ac:dyDescent="0.3">
      <c r="A8" s="448" t="s">
        <v>349</v>
      </c>
      <c r="B8" s="335">
        <v>7</v>
      </c>
      <c r="C8" s="335">
        <v>21.1</v>
      </c>
      <c r="D8" s="336">
        <v>3.1</v>
      </c>
      <c r="E8" s="335">
        <v>13.3</v>
      </c>
      <c r="F8" s="336">
        <v>17.100000000000001</v>
      </c>
      <c r="G8" s="337">
        <v>7.1</v>
      </c>
      <c r="H8" s="335">
        <v>9.1</v>
      </c>
      <c r="I8" s="337">
        <v>4.9000000000000004</v>
      </c>
      <c r="J8" s="338">
        <v>23.1</v>
      </c>
      <c r="K8" s="339">
        <v>29.6</v>
      </c>
      <c r="L8" s="340">
        <v>29.3</v>
      </c>
      <c r="M8" s="338">
        <v>4.4000000000000004</v>
      </c>
      <c r="N8" s="339">
        <v>3.4</v>
      </c>
    </row>
    <row r="9" spans="1:14" x14ac:dyDescent="0.3">
      <c r="A9" s="448" t="s">
        <v>348</v>
      </c>
      <c r="B9" s="335">
        <v>5.4</v>
      </c>
      <c r="C9" s="335">
        <v>18.2</v>
      </c>
      <c r="D9" s="336">
        <v>1.9</v>
      </c>
      <c r="E9" s="335">
        <v>11.5</v>
      </c>
      <c r="F9" s="336">
        <v>15.7</v>
      </c>
      <c r="G9" s="337">
        <v>2.6</v>
      </c>
      <c r="H9" s="335">
        <v>10.8</v>
      </c>
      <c r="I9" s="337">
        <v>2</v>
      </c>
      <c r="J9" s="337">
        <v>15.4</v>
      </c>
      <c r="K9" s="339">
        <v>28.5</v>
      </c>
      <c r="L9" s="340">
        <v>25.3</v>
      </c>
      <c r="M9" s="338">
        <v>3.5</v>
      </c>
      <c r="N9" s="339">
        <v>4.2</v>
      </c>
    </row>
    <row r="10" spans="1:14" x14ac:dyDescent="0.3">
      <c r="A10" s="448" t="s">
        <v>350</v>
      </c>
      <c r="B10" s="335">
        <v>7</v>
      </c>
      <c r="C10" s="335">
        <v>21</v>
      </c>
      <c r="D10" s="336">
        <v>3.6</v>
      </c>
      <c r="E10" s="335">
        <v>13.2</v>
      </c>
      <c r="F10" s="336">
        <v>17</v>
      </c>
      <c r="G10" s="337">
        <v>1.9</v>
      </c>
      <c r="H10" s="335">
        <v>4.5999999999999996</v>
      </c>
      <c r="I10" s="337">
        <v>2.4</v>
      </c>
      <c r="J10" s="337">
        <v>15.2</v>
      </c>
      <c r="K10" s="339">
        <v>20.7</v>
      </c>
      <c r="L10" s="340">
        <v>27.1</v>
      </c>
      <c r="M10" s="338">
        <v>4</v>
      </c>
      <c r="N10" s="339">
        <v>3.5</v>
      </c>
    </row>
    <row r="11" spans="1:14" x14ac:dyDescent="0.3">
      <c r="A11" s="448" t="s">
        <v>354</v>
      </c>
      <c r="B11" s="335">
        <v>7.4</v>
      </c>
      <c r="C11" s="335">
        <v>22.6</v>
      </c>
      <c r="D11" s="336">
        <v>4.0999999999999996</v>
      </c>
      <c r="E11" s="335">
        <v>12.4</v>
      </c>
      <c r="F11" s="336">
        <v>17.2</v>
      </c>
      <c r="G11" s="337">
        <v>2.1</v>
      </c>
      <c r="H11" s="335">
        <v>6</v>
      </c>
      <c r="I11" s="337">
        <v>2.7</v>
      </c>
      <c r="J11" s="337">
        <v>13.8</v>
      </c>
      <c r="K11" s="339">
        <v>25.1</v>
      </c>
      <c r="L11" s="340">
        <v>27.6</v>
      </c>
      <c r="M11" s="338">
        <v>4.0999999999999996</v>
      </c>
      <c r="N11" s="339">
        <v>3.3</v>
      </c>
    </row>
    <row r="12" spans="1:14" x14ac:dyDescent="0.3">
      <c r="A12" s="448" t="s">
        <v>352</v>
      </c>
      <c r="B12" s="335">
        <v>8.5</v>
      </c>
      <c r="C12" s="335">
        <v>24.3</v>
      </c>
      <c r="D12" s="336">
        <v>5.2</v>
      </c>
      <c r="E12" s="335">
        <v>14.4</v>
      </c>
      <c r="F12" s="336">
        <v>18.100000000000001</v>
      </c>
      <c r="G12" s="337">
        <v>5.5</v>
      </c>
      <c r="H12" s="335">
        <v>5.9</v>
      </c>
      <c r="I12" s="337">
        <v>2.4</v>
      </c>
      <c r="J12" s="338">
        <v>14.2</v>
      </c>
      <c r="K12" s="339">
        <v>20.6</v>
      </c>
      <c r="L12" s="340">
        <v>27.9</v>
      </c>
      <c r="M12" s="338">
        <v>4.3</v>
      </c>
      <c r="N12" s="339">
        <v>3.1</v>
      </c>
    </row>
    <row r="13" spans="1:14" x14ac:dyDescent="0.3">
      <c r="A13" s="448" t="s">
        <v>355</v>
      </c>
      <c r="B13" s="335">
        <v>6.6</v>
      </c>
      <c r="C13" s="335">
        <v>20.5</v>
      </c>
      <c r="D13" s="336">
        <v>3.4</v>
      </c>
      <c r="E13" s="335">
        <v>15.9</v>
      </c>
      <c r="F13" s="336">
        <v>20.3</v>
      </c>
      <c r="G13" s="337">
        <v>5.6</v>
      </c>
      <c r="H13" s="335">
        <v>5.3</v>
      </c>
      <c r="I13" s="337">
        <v>5.7</v>
      </c>
      <c r="J13" s="337">
        <v>25.3</v>
      </c>
      <c r="K13" s="339">
        <v>25.3</v>
      </c>
      <c r="L13" s="340">
        <v>26</v>
      </c>
      <c r="M13" s="338">
        <v>3.8</v>
      </c>
      <c r="N13" s="339">
        <v>3.6</v>
      </c>
    </row>
    <row r="14" spans="1:14" x14ac:dyDescent="0.3">
      <c r="A14" s="448" t="s">
        <v>351</v>
      </c>
      <c r="B14" s="335">
        <v>7.3</v>
      </c>
      <c r="C14" s="335">
        <v>22.4</v>
      </c>
      <c r="D14" s="336">
        <v>4.4000000000000004</v>
      </c>
      <c r="E14" s="335">
        <v>16.100000000000001</v>
      </c>
      <c r="F14" s="336">
        <v>19</v>
      </c>
      <c r="G14" s="337">
        <v>7</v>
      </c>
      <c r="H14" s="335">
        <v>4.4000000000000004</v>
      </c>
      <c r="I14" s="337">
        <v>3.3</v>
      </c>
      <c r="J14" s="338">
        <v>15.3</v>
      </c>
      <c r="K14" s="339">
        <v>29.3</v>
      </c>
      <c r="L14" s="340">
        <v>29.1</v>
      </c>
      <c r="M14" s="338">
        <v>4.5</v>
      </c>
      <c r="N14" s="339">
        <v>3.2</v>
      </c>
    </row>
    <row r="15" spans="1:14" x14ac:dyDescent="0.3">
      <c r="A15" s="448" t="s">
        <v>353</v>
      </c>
      <c r="B15" s="341">
        <v>7.1</v>
      </c>
      <c r="C15" s="341">
        <v>21.8</v>
      </c>
      <c r="D15" s="336">
        <v>4.5999999999999996</v>
      </c>
      <c r="E15" s="341">
        <v>15.8</v>
      </c>
      <c r="F15" s="336">
        <v>17.7</v>
      </c>
      <c r="G15" s="337">
        <v>1.8</v>
      </c>
      <c r="H15" s="341">
        <v>5.0999999999999996</v>
      </c>
      <c r="I15" s="337">
        <v>2.1</v>
      </c>
      <c r="J15" s="337">
        <v>8.8000000000000007</v>
      </c>
      <c r="K15" s="342">
        <v>19.7</v>
      </c>
      <c r="L15" s="340">
        <v>28</v>
      </c>
      <c r="M15" s="338">
        <v>4.3</v>
      </c>
      <c r="N15" s="342">
        <v>3.2</v>
      </c>
    </row>
    <row r="16" spans="1:14" x14ac:dyDescent="0.3">
      <c r="A16" s="449" t="s">
        <v>357</v>
      </c>
      <c r="B16" s="369">
        <v>4.0999999999999996</v>
      </c>
      <c r="C16" s="369">
        <v>14.6</v>
      </c>
      <c r="D16" s="370">
        <v>3.1</v>
      </c>
      <c r="E16" s="369">
        <v>15.6</v>
      </c>
      <c r="F16" s="370">
        <v>22.7</v>
      </c>
      <c r="G16" s="371">
        <v>1.7</v>
      </c>
      <c r="H16" s="369">
        <v>13</v>
      </c>
      <c r="I16" s="371">
        <v>4.4000000000000004</v>
      </c>
      <c r="J16" s="372">
        <v>35.5</v>
      </c>
      <c r="K16" s="373">
        <v>41.6</v>
      </c>
      <c r="L16" s="374">
        <v>30.6</v>
      </c>
      <c r="M16" s="372">
        <v>4.5999999999999996</v>
      </c>
      <c r="N16" s="373">
        <v>3.4</v>
      </c>
    </row>
    <row r="17" spans="1:14" x14ac:dyDescent="0.3">
      <c r="A17" s="448" t="s">
        <v>371</v>
      </c>
      <c r="B17" s="335">
        <v>3</v>
      </c>
      <c r="C17" s="335">
        <v>10.4</v>
      </c>
      <c r="D17" s="336">
        <v>2.7</v>
      </c>
      <c r="E17" s="335">
        <v>15.7</v>
      </c>
      <c r="F17" s="336">
        <v>25.2</v>
      </c>
      <c r="G17" s="337">
        <v>3.8</v>
      </c>
      <c r="H17" s="335">
        <v>24.8</v>
      </c>
      <c r="I17" s="337">
        <v>22.9</v>
      </c>
      <c r="J17" s="337">
        <v>52.3</v>
      </c>
      <c r="K17" s="339">
        <v>50.1</v>
      </c>
      <c r="L17" s="340">
        <v>30.8</v>
      </c>
      <c r="M17" s="338">
        <v>4.5999999999999996</v>
      </c>
      <c r="N17" s="339">
        <v>3.7</v>
      </c>
    </row>
    <row r="18" spans="1:14" x14ac:dyDescent="0.3">
      <c r="A18" s="449" t="s">
        <v>358</v>
      </c>
      <c r="B18" s="369">
        <v>2.9</v>
      </c>
      <c r="C18" s="369">
        <v>9.6</v>
      </c>
      <c r="D18" s="370">
        <v>3.3</v>
      </c>
      <c r="E18" s="369">
        <v>13.3</v>
      </c>
      <c r="F18" s="370">
        <v>17.100000000000001</v>
      </c>
      <c r="G18" s="371">
        <v>6.5</v>
      </c>
      <c r="H18" s="369">
        <v>15.2</v>
      </c>
      <c r="I18" s="371">
        <v>3.9</v>
      </c>
      <c r="J18" s="371">
        <v>23.1</v>
      </c>
      <c r="K18" s="373">
        <v>37.1</v>
      </c>
      <c r="L18" s="374">
        <v>23.7</v>
      </c>
      <c r="M18" s="372">
        <v>3.4</v>
      </c>
      <c r="N18" s="373">
        <v>4</v>
      </c>
    </row>
    <row r="19" spans="1:14" x14ac:dyDescent="0.3">
      <c r="A19" s="448" t="s">
        <v>372</v>
      </c>
      <c r="B19" s="335">
        <v>1.6</v>
      </c>
      <c r="C19" s="335">
        <v>5.4</v>
      </c>
      <c r="D19" s="336">
        <v>2.2000000000000002</v>
      </c>
      <c r="E19" s="335">
        <v>9.1</v>
      </c>
      <c r="F19" s="336">
        <v>12.2</v>
      </c>
      <c r="G19" s="337">
        <v>7.1</v>
      </c>
      <c r="H19" s="335">
        <v>3.2</v>
      </c>
      <c r="I19" s="337">
        <v>3.1</v>
      </c>
      <c r="J19" s="337">
        <v>25</v>
      </c>
      <c r="K19" s="339">
        <v>28.1</v>
      </c>
      <c r="L19" s="340">
        <v>24.5</v>
      </c>
      <c r="M19" s="338">
        <v>3.4</v>
      </c>
      <c r="N19" s="339">
        <v>4.3</v>
      </c>
    </row>
    <row r="20" spans="1:14" x14ac:dyDescent="0.3">
      <c r="A20" s="448" t="s">
        <v>356</v>
      </c>
      <c r="B20" s="335">
        <v>4.3</v>
      </c>
      <c r="C20" s="335">
        <v>15.4</v>
      </c>
      <c r="D20" s="336">
        <v>5.0999999999999996</v>
      </c>
      <c r="E20" s="335">
        <v>17</v>
      </c>
      <c r="F20" s="336">
        <v>22</v>
      </c>
      <c r="G20" s="337">
        <v>5.0999999999999996</v>
      </c>
      <c r="H20" s="335">
        <v>8</v>
      </c>
      <c r="I20" s="337">
        <v>5.9</v>
      </c>
      <c r="J20" s="338">
        <v>23.7</v>
      </c>
      <c r="K20" s="339">
        <v>32.9</v>
      </c>
      <c r="L20" s="340">
        <v>33.1</v>
      </c>
      <c r="M20" s="338">
        <v>5.4</v>
      </c>
      <c r="N20" s="339">
        <v>2.8</v>
      </c>
    </row>
    <row r="21" spans="1:14" x14ac:dyDescent="0.3">
      <c r="A21" s="448" t="s">
        <v>359</v>
      </c>
      <c r="B21" s="335">
        <v>0.7</v>
      </c>
      <c r="C21" s="335">
        <v>1.7</v>
      </c>
      <c r="D21" s="336">
        <v>4.5999999999999996</v>
      </c>
      <c r="E21" s="335">
        <v>13.4</v>
      </c>
      <c r="F21" s="336">
        <v>25.6</v>
      </c>
      <c r="G21" s="337">
        <v>16.399999999999999</v>
      </c>
      <c r="H21" s="335">
        <v>15.7</v>
      </c>
      <c r="I21" s="337">
        <v>6.8</v>
      </c>
      <c r="J21" s="337">
        <v>48.2</v>
      </c>
      <c r="K21" s="339">
        <v>31.5</v>
      </c>
      <c r="L21" s="340">
        <v>28.1</v>
      </c>
      <c r="M21" s="338">
        <v>4.3</v>
      </c>
      <c r="N21" s="339">
        <v>3.1</v>
      </c>
    </row>
    <row r="22" spans="1:14" x14ac:dyDescent="0.3">
      <c r="A22" s="448" t="s">
        <v>362</v>
      </c>
      <c r="B22" s="335">
        <v>1.2</v>
      </c>
      <c r="C22" s="335">
        <v>3.5</v>
      </c>
      <c r="D22" s="336">
        <v>5.2</v>
      </c>
      <c r="E22" s="335">
        <v>15</v>
      </c>
      <c r="F22" s="336">
        <v>19.5</v>
      </c>
      <c r="G22" s="337">
        <v>6.3</v>
      </c>
      <c r="H22" s="335">
        <v>10.3</v>
      </c>
      <c r="I22" s="337">
        <v>6</v>
      </c>
      <c r="J22" s="337">
        <v>38.4</v>
      </c>
      <c r="K22" s="339">
        <v>34.799999999999997</v>
      </c>
      <c r="L22" s="340">
        <v>29.2</v>
      </c>
      <c r="M22" s="338">
        <v>4.5999999999999996</v>
      </c>
      <c r="N22" s="339">
        <v>3.1</v>
      </c>
    </row>
    <row r="23" spans="1:14" x14ac:dyDescent="0.3">
      <c r="A23" s="448" t="s">
        <v>360</v>
      </c>
      <c r="B23" s="335">
        <v>1.1000000000000001</v>
      </c>
      <c r="C23" s="335">
        <v>3.4</v>
      </c>
      <c r="D23" s="336">
        <v>5.3</v>
      </c>
      <c r="E23" s="335">
        <v>12.4</v>
      </c>
      <c r="F23" s="336">
        <v>16.3</v>
      </c>
      <c r="G23" s="337">
        <v>14.8</v>
      </c>
      <c r="H23" s="335">
        <v>7.4</v>
      </c>
      <c r="I23" s="337">
        <v>4.3</v>
      </c>
      <c r="J23" s="338">
        <v>42.3</v>
      </c>
      <c r="K23" s="339">
        <v>34.6</v>
      </c>
      <c r="L23" s="340">
        <v>23.2</v>
      </c>
      <c r="M23" s="338">
        <v>3.5</v>
      </c>
      <c r="N23" s="339">
        <v>3.2</v>
      </c>
    </row>
    <row r="24" spans="1:14" x14ac:dyDescent="0.3">
      <c r="A24" s="448" t="s">
        <v>361</v>
      </c>
      <c r="B24" s="335">
        <v>3.3</v>
      </c>
      <c r="C24" s="335">
        <v>11.4</v>
      </c>
      <c r="D24" s="336">
        <v>8.8000000000000007</v>
      </c>
      <c r="E24" s="335">
        <v>20.3</v>
      </c>
      <c r="F24" s="336">
        <v>28.9</v>
      </c>
      <c r="G24" s="337">
        <v>13.4</v>
      </c>
      <c r="H24" s="335">
        <v>6.1</v>
      </c>
      <c r="I24" s="337">
        <v>15.2</v>
      </c>
      <c r="J24" s="338">
        <v>43</v>
      </c>
      <c r="K24" s="339">
        <v>38.299999999999997</v>
      </c>
      <c r="L24" s="340">
        <v>32.700000000000003</v>
      </c>
      <c r="M24" s="338">
        <v>5.9</v>
      </c>
      <c r="N24" s="339">
        <v>2</v>
      </c>
    </row>
    <row r="25" spans="1:14" x14ac:dyDescent="0.3">
      <c r="A25" s="448" t="s">
        <v>364</v>
      </c>
      <c r="B25" s="335">
        <v>1.1000000000000001</v>
      </c>
      <c r="C25" s="335">
        <v>3.3</v>
      </c>
      <c r="D25" s="336">
        <v>7.5</v>
      </c>
      <c r="E25" s="335">
        <v>18.3</v>
      </c>
      <c r="F25" s="336">
        <v>23.3</v>
      </c>
      <c r="G25" s="337">
        <v>3</v>
      </c>
      <c r="H25" s="335">
        <v>7.7</v>
      </c>
      <c r="I25" s="337">
        <v>20.399999999999999</v>
      </c>
      <c r="J25" s="338">
        <v>44.3</v>
      </c>
      <c r="K25" s="339">
        <v>36.9</v>
      </c>
      <c r="L25" s="340">
        <v>33.5</v>
      </c>
      <c r="M25" s="338">
        <v>5.7</v>
      </c>
      <c r="N25" s="339">
        <v>2.6</v>
      </c>
    </row>
    <row r="26" spans="1:14" x14ac:dyDescent="0.3">
      <c r="A26" s="448" t="s">
        <v>363</v>
      </c>
      <c r="B26" s="341">
        <v>2.7</v>
      </c>
      <c r="C26" s="341">
        <v>9.5</v>
      </c>
      <c r="D26" s="336">
        <v>10.5</v>
      </c>
      <c r="E26" s="341">
        <v>21.6</v>
      </c>
      <c r="F26" s="336">
        <v>26.6</v>
      </c>
      <c r="G26" s="337">
        <v>3.7</v>
      </c>
      <c r="H26" s="341">
        <v>9.3000000000000007</v>
      </c>
      <c r="I26" s="337">
        <v>8</v>
      </c>
      <c r="J26" s="338">
        <v>34.299999999999997</v>
      </c>
      <c r="K26" s="342">
        <v>36.6</v>
      </c>
      <c r="L26" s="340">
        <v>34.1</v>
      </c>
      <c r="M26" s="338">
        <v>6.6</v>
      </c>
      <c r="N26" s="342">
        <v>1.9</v>
      </c>
    </row>
    <row r="27" spans="1:14" ht="15" thickBot="1" x14ac:dyDescent="0.35">
      <c r="A27" s="450" t="s">
        <v>365</v>
      </c>
      <c r="B27" s="343">
        <v>0.7</v>
      </c>
      <c r="C27" s="343">
        <v>1.9</v>
      </c>
      <c r="D27" s="344">
        <v>9.3000000000000007</v>
      </c>
      <c r="E27" s="343">
        <v>20.2</v>
      </c>
      <c r="F27" s="344">
        <v>34.799999999999997</v>
      </c>
      <c r="G27" s="345">
        <v>13.2</v>
      </c>
      <c r="H27" s="343">
        <v>44.9</v>
      </c>
      <c r="I27" s="345">
        <v>25.7</v>
      </c>
      <c r="J27" s="346">
        <v>50.9</v>
      </c>
      <c r="K27" s="347">
        <v>52.7</v>
      </c>
      <c r="L27" s="348">
        <v>33.4</v>
      </c>
      <c r="M27" s="346">
        <v>6.1</v>
      </c>
      <c r="N27" s="347">
        <v>2.2000000000000002</v>
      </c>
    </row>
    <row r="28" spans="1:14" ht="15" thickTop="1" x14ac:dyDescent="0.3">
      <c r="A28" s="294" t="s">
        <v>374</v>
      </c>
    </row>
    <row r="29" spans="1:14" x14ac:dyDescent="0.3">
      <c r="A29" s="294" t="s">
        <v>366</v>
      </c>
    </row>
  </sheetData>
  <mergeCells count="3">
    <mergeCell ref="B2:C2"/>
    <mergeCell ref="D2:E2"/>
    <mergeCell ref="A1:N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32</vt:i4>
      </vt:variant>
    </vt:vector>
  </HeadingPairs>
  <TitlesOfParts>
    <vt:vector size="32" baseType="lpstr">
      <vt:lpstr>INDICE</vt:lpstr>
      <vt:lpstr>T1</vt:lpstr>
      <vt:lpstr>T2</vt:lpstr>
      <vt:lpstr>T3</vt:lpstr>
      <vt:lpstr>T4</vt:lpstr>
      <vt:lpstr>T5</vt:lpstr>
      <vt:lpstr>T6</vt:lpstr>
      <vt:lpstr>T7</vt:lpstr>
      <vt:lpstr>T8</vt:lpstr>
      <vt:lpstr>T9</vt:lpstr>
      <vt:lpstr>T10</vt:lpstr>
      <vt:lpstr>T11</vt:lpstr>
      <vt:lpstr>T12</vt:lpstr>
      <vt:lpstr>T13</vt:lpstr>
      <vt:lpstr>T14</vt:lpstr>
      <vt:lpstr>T15</vt:lpstr>
      <vt:lpstr>T16</vt:lpstr>
      <vt:lpstr>T17</vt:lpstr>
      <vt:lpstr>T18</vt:lpstr>
      <vt:lpstr>T19</vt:lpstr>
      <vt:lpstr>T20</vt:lpstr>
      <vt:lpstr>T21</vt:lpstr>
      <vt:lpstr>T22</vt:lpstr>
      <vt:lpstr>T23</vt:lpstr>
      <vt:lpstr>T24</vt:lpstr>
      <vt:lpstr>T25</vt:lpstr>
      <vt:lpstr>T26</vt:lpstr>
      <vt:lpstr>T27</vt:lpstr>
      <vt:lpstr>T28</vt:lpstr>
      <vt:lpstr>T29</vt:lpstr>
      <vt:lpstr>T30</vt:lpstr>
      <vt:lpstr>T31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Sanzo Gonzalez, Luis</cp:lastModifiedBy>
  <dcterms:created xsi:type="dcterms:W3CDTF">2011-08-01T14:22:18Z</dcterms:created>
  <dcterms:modified xsi:type="dcterms:W3CDTF">2019-06-28T11:58:10Z</dcterms:modified>
</cp:coreProperties>
</file>